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lseh\Desktop\Calectra\"/>
    </mc:Choice>
  </mc:AlternateContent>
  <xr:revisionPtr revIDLastSave="0" documentId="13_ncr:1_{D02A7884-159D-4E31-B8B3-A5CA0299CE76}" xr6:coauthVersionLast="47" xr6:coauthVersionMax="47" xr10:uidLastSave="{00000000-0000-0000-0000-000000000000}"/>
  <bookViews>
    <workbookView xWindow="-108" yWindow="-108" windowWidth="23256" windowHeight="12456" activeTab="1" xr2:uid="{47C40AF4-BA18-4F65-8A2B-8FA76D77F0D9}"/>
  </bookViews>
  <sheets>
    <sheet name="Raw_Cambium24_MidCase_annual" sheetId="1" r:id="rId1"/>
    <sheet name="Data" sheetId="5" r:id="rId2"/>
  </sheets>
  <definedNames>
    <definedName name="_xlnm._FilterDatabase" localSheetId="0" hidden="1">Raw_Cambium24_MidCase_annual!$A$1:$AI$109</definedName>
  </definedNames>
  <calcPr calcId="191029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" i="5" l="1"/>
  <c r="N5" i="5"/>
  <c r="N6" i="5"/>
  <c r="N7" i="5"/>
  <c r="N8" i="5"/>
  <c r="N9" i="5"/>
  <c r="N4" i="5"/>
  <c r="U5" i="5"/>
  <c r="U6" i="5"/>
  <c r="U7" i="5"/>
  <c r="U8" i="5"/>
  <c r="U9" i="5"/>
  <c r="U4" i="5"/>
  <c r="Q4" i="5"/>
  <c r="R4" i="5"/>
  <c r="Q5" i="5"/>
  <c r="R5" i="5"/>
  <c r="Q6" i="5"/>
  <c r="R6" i="5"/>
  <c r="Q7" i="5"/>
  <c r="R7" i="5"/>
  <c r="Q8" i="5"/>
  <c r="R8" i="5"/>
  <c r="Q9" i="5"/>
  <c r="R9" i="5"/>
</calcChain>
</file>

<file path=xl/sharedStrings.xml><?xml version="1.0" encoding="utf-8"?>
<sst xmlns="http://schemas.openxmlformats.org/spreadsheetml/2006/main" count="272" uniqueCount="75">
  <si>
    <t>scenario</t>
  </si>
  <si>
    <t>gea</t>
  </si>
  <si>
    <t>busbar_load_for_enduse</t>
  </si>
  <si>
    <t>curtailment_MWh</t>
  </si>
  <si>
    <t>generation</t>
  </si>
  <si>
    <t>battery_MWh</t>
  </si>
  <si>
    <t>biomass_MWh</t>
  </si>
  <si>
    <t>canada_MWh</t>
  </si>
  <si>
    <t>coal_MWh</t>
  </si>
  <si>
    <t>csp_MWh</t>
  </si>
  <si>
    <t>distpv_MWh</t>
  </si>
  <si>
    <t>gas-cc_MWh</t>
  </si>
  <si>
    <t>gas-ct_MWh</t>
  </si>
  <si>
    <t>geothermal_MWh</t>
  </si>
  <si>
    <t>hydro_MWh</t>
  </si>
  <si>
    <t>nuclear_MWh</t>
  </si>
  <si>
    <t>o-g-s_MWh</t>
  </si>
  <si>
    <t>phs_MWh</t>
  </si>
  <si>
    <t>upv_MWh</t>
  </si>
  <si>
    <t>wind-ons_MWh</t>
  </si>
  <si>
    <t>wind-ofs_MWh</t>
  </si>
  <si>
    <t>battery_MW</t>
  </si>
  <si>
    <t>distpv_MW</t>
  </si>
  <si>
    <t>gas-cc_MW</t>
  </si>
  <si>
    <t>gas-ct_MW</t>
  </si>
  <si>
    <t>geothermal_MW</t>
  </si>
  <si>
    <t>hydro_MW</t>
  </si>
  <si>
    <t>nuclear_MW</t>
  </si>
  <si>
    <t>o-g-s_MW</t>
  </si>
  <si>
    <t>phs_MW</t>
  </si>
  <si>
    <t>upv_MW</t>
  </si>
  <si>
    <t>wind-ofs_MW</t>
  </si>
  <si>
    <t>wind-ons_MW</t>
  </si>
  <si>
    <t>battery_energy_cap_MWh</t>
  </si>
  <si>
    <t>MidCase</t>
  </si>
  <si>
    <t>CAISO</t>
  </si>
  <si>
    <t>ERCOT</t>
  </si>
  <si>
    <t>FRCC</t>
  </si>
  <si>
    <t>ISONE</t>
  </si>
  <si>
    <t>MISO_Central</t>
  </si>
  <si>
    <t>MISO_North</t>
  </si>
  <si>
    <t>MISO_South</t>
  </si>
  <si>
    <t>NYISO</t>
  </si>
  <si>
    <t>NorthernGrid_East</t>
  </si>
  <si>
    <t>NorthernGrid_South</t>
  </si>
  <si>
    <t>NorthernGrid_West</t>
  </si>
  <si>
    <t>PJM_East</t>
  </si>
  <si>
    <t>PJM_West</t>
  </si>
  <si>
    <t>SERTP</t>
  </si>
  <si>
    <t>SPP_North</t>
  </si>
  <si>
    <t>SPP_South</t>
  </si>
  <si>
    <t>WestConnect_North</t>
  </si>
  <si>
    <t>WestConnect_South</t>
  </si>
  <si>
    <t>Year</t>
  </si>
  <si>
    <t>biomass</t>
  </si>
  <si>
    <t>coal</t>
  </si>
  <si>
    <t>distpv</t>
  </si>
  <si>
    <t>gas-cc</t>
  </si>
  <si>
    <t>gas-ct</t>
  </si>
  <si>
    <t>geothermal</t>
  </si>
  <si>
    <t>hydro</t>
  </si>
  <si>
    <t>nuclear</t>
  </si>
  <si>
    <t>o-g-s</t>
  </si>
  <si>
    <t>upv</t>
  </si>
  <si>
    <t>wind-ons</t>
  </si>
  <si>
    <t>wind-ofs</t>
  </si>
  <si>
    <t>label</t>
  </si>
  <si>
    <t>Total Generation (TWh)</t>
  </si>
  <si>
    <t>Energy Outlook in the U.S (TWh)</t>
  </si>
  <si>
    <t>Battery Energy Cap (TWh)</t>
  </si>
  <si>
    <t>Duration (Hrs)</t>
  </si>
  <si>
    <t>Battery  TW</t>
  </si>
  <si>
    <t>sum</t>
  </si>
  <si>
    <t>RE Generation (TWh)</t>
  </si>
  <si>
    <t>Curtailment (Twh)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</si>
</sst>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#,##0.00,,"/>
    <numFmt numFmtId="167" formatCode="#,##0,,"/>
    <numFmt numFmtId="170" formatCode="_-* #,##0.00_-;\-* #,##0.00_-;_-* &quot;-&quot;_-;_-@_-"/>
  </numFmts>
  <fonts count="21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8"/>
      <color theme="3"/>
      <name val="Calibri Light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57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/>
    </xf>
    <xf numFmtId="164" fontId="19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 vertical="center"/>
    </xf>
    <xf numFmtId="4" fontId="0" fillId="0" borderId="0" xfId="0" applyNumberFormat="1"/>
    <xf numFmtId="167" fontId="0" fillId="0" borderId="0" xfId="0" applyNumberFormat="1" applyAlignment="1">
      <alignment horizontal="center"/>
    </xf>
    <xf numFmtId="170" fontId="0" fillId="0" borderId="0" xfId="1" applyNumberFormat="1" applyFont="1"/>
    <xf numFmtId="164" fontId="18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2" fontId="0" fillId="0" borderId="0" xfId="0" applyNumberFormat="1"/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30"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[Cambium24_MidCase_annual_gea_version3.xlsx]Data!피벗 테이블2</c:name>
    <c:fmtId val="0"/>
  </c:pivotSource>
  <c:chart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solidFill>
              <a:srgbClr val="00B05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Data!$A$4:$A$9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Data!$B$4:$B$9</c:f>
              <c:numCache>
                <c:formatCode>#,##0.00,,</c:formatCode>
                <c:ptCount val="6"/>
                <c:pt idx="0">
                  <c:v>802195382</c:v>
                </c:pt>
                <c:pt idx="1">
                  <c:v>324669160.5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9-440A-9451-DFC96582F4E1}"/>
            </c:ext>
          </c:extLst>
        </c:ser>
        <c:ser>
          <c:idx val="1"/>
          <c:order val="1"/>
          <c:tx>
            <c:strRef>
              <c:f>Data!$C$3</c:f>
              <c:strCache>
                <c:ptCount val="1"/>
                <c:pt idx="0">
                  <c:v>o-g-s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Data!$A$4:$A$9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Data!$C$4:$C$9</c:f>
              <c:numCache>
                <c:formatCode>#,##0.00,,</c:formatCode>
                <c:ptCount val="6"/>
                <c:pt idx="0">
                  <c:v>29543131.899999999</c:v>
                </c:pt>
                <c:pt idx="1">
                  <c:v>21232605.599999998</c:v>
                </c:pt>
                <c:pt idx="2">
                  <c:v>19152045.099999998</c:v>
                </c:pt>
                <c:pt idx="3">
                  <c:v>8199082.4000000013</c:v>
                </c:pt>
                <c:pt idx="4">
                  <c:v>6605038.5</c:v>
                </c:pt>
                <c:pt idx="5">
                  <c:v>4117486.6999999993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A9-440A-9451-DFC96582F4E1}"/>
            </c:ext>
          </c:extLst>
        </c:ser>
        <c:ser>
          <c:idx val="2"/>
          <c:order val="2"/>
          <c:tx>
            <c:strRef>
              <c:f>Data!$D$3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Data!$A$4:$A$9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Data!$D$4:$D$9</c:f>
              <c:numCache>
                <c:formatCode>#,##0.00,,</c:formatCode>
                <c:ptCount val="6"/>
                <c:pt idx="0">
                  <c:v>789618419.5</c:v>
                </c:pt>
                <c:pt idx="1">
                  <c:v>771726715.5</c:v>
                </c:pt>
                <c:pt idx="2">
                  <c:v>771726715.5</c:v>
                </c:pt>
                <c:pt idx="3">
                  <c:v>771726715.5</c:v>
                </c:pt>
                <c:pt idx="4">
                  <c:v>771726715.5</c:v>
                </c:pt>
                <c:pt idx="5">
                  <c:v>766507809.5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A9-440A-9451-DFC96582F4E1}"/>
            </c:ext>
          </c:extLst>
        </c:ser>
        <c:ser>
          <c:idx val="3"/>
          <c:order val="3"/>
          <c:tx>
            <c:strRef>
              <c:f>Data!$E$3</c:f>
              <c:strCache>
                <c:ptCount val="1"/>
                <c:pt idx="0">
                  <c:v>gas-cc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Data!$A$4:$A$9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Data!$E$4:$E$9</c:f>
              <c:numCache>
                <c:formatCode>#,##0.00,,</c:formatCode>
                <c:ptCount val="6"/>
                <c:pt idx="0">
                  <c:v>1243330483.3</c:v>
                </c:pt>
                <c:pt idx="1">
                  <c:v>1363623539.8</c:v>
                </c:pt>
                <c:pt idx="2">
                  <c:v>1117042615.5</c:v>
                </c:pt>
                <c:pt idx="3">
                  <c:v>1111887227.2</c:v>
                </c:pt>
                <c:pt idx="4">
                  <c:v>1104628947.0999999</c:v>
                </c:pt>
                <c:pt idx="5">
                  <c:v>1126078148.4000001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A9-440A-9451-DFC96582F4E1}"/>
            </c:ext>
          </c:extLst>
        </c:ser>
        <c:ser>
          <c:idx val="4"/>
          <c:order val="4"/>
          <c:tx>
            <c:strRef>
              <c:f>Data!$F$3</c:f>
              <c:strCache>
                <c:ptCount val="1"/>
                <c:pt idx="0">
                  <c:v>gas-ct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Data!$A$4:$A$9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Data!$F$4:$F$9</c:f>
              <c:numCache>
                <c:formatCode>#,##0.00,,</c:formatCode>
                <c:ptCount val="6"/>
                <c:pt idx="0">
                  <c:v>24088338.800000001</c:v>
                </c:pt>
                <c:pt idx="1">
                  <c:v>22541917.700000007</c:v>
                </c:pt>
                <c:pt idx="2">
                  <c:v>30904593.200000003</c:v>
                </c:pt>
                <c:pt idx="3">
                  <c:v>28030918.199999999</c:v>
                </c:pt>
                <c:pt idx="4">
                  <c:v>34019972</c:v>
                </c:pt>
                <c:pt idx="5">
                  <c:v>35817265.800000004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A9-440A-9451-DFC96582F4E1}"/>
            </c:ext>
          </c:extLst>
        </c:ser>
        <c:ser>
          <c:idx val="5"/>
          <c:order val="5"/>
          <c:tx>
            <c:strRef>
              <c:f>Data!$G$3</c:f>
              <c:strCache>
                <c:ptCount val="1"/>
                <c:pt idx="0">
                  <c:v>geothermal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Data!$A$4:$A$9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Data!$G$4:$G$9</c:f>
              <c:numCache>
                <c:formatCode>#,##0.00,,</c:formatCode>
                <c:ptCount val="6"/>
                <c:pt idx="0">
                  <c:v>20434007.899999999</c:v>
                </c:pt>
                <c:pt idx="1">
                  <c:v>26913737.299999997</c:v>
                </c:pt>
                <c:pt idx="2">
                  <c:v>38430110.100000001</c:v>
                </c:pt>
                <c:pt idx="3">
                  <c:v>38614346.899999999</c:v>
                </c:pt>
                <c:pt idx="4">
                  <c:v>75091191.799999997</c:v>
                </c:pt>
                <c:pt idx="5">
                  <c:v>75392569.599999994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A9-440A-9451-DFC96582F4E1}"/>
            </c:ext>
          </c:extLst>
        </c:ser>
        <c:ser>
          <c:idx val="6"/>
          <c:order val="6"/>
          <c:tx>
            <c:strRef>
              <c:f>Data!$H$3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Data!$A$4:$A$9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Data!$H$4:$H$9</c:f>
              <c:numCache>
                <c:formatCode>#,##0.00,,</c:formatCode>
                <c:ptCount val="6"/>
                <c:pt idx="0">
                  <c:v>300177121.80000001</c:v>
                </c:pt>
                <c:pt idx="1">
                  <c:v>300858818.19999999</c:v>
                </c:pt>
                <c:pt idx="2">
                  <c:v>302355240.70000005</c:v>
                </c:pt>
                <c:pt idx="3">
                  <c:v>301385730.40000004</c:v>
                </c:pt>
                <c:pt idx="4">
                  <c:v>303493128.10000002</c:v>
                </c:pt>
                <c:pt idx="5">
                  <c:v>300122423.39999998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A9-440A-9451-DFC96582F4E1}"/>
            </c:ext>
          </c:extLst>
        </c:ser>
        <c:ser>
          <c:idx val="7"/>
          <c:order val="7"/>
          <c:tx>
            <c:strRef>
              <c:f>Data!$I$3</c:f>
              <c:strCache>
                <c:ptCount val="1"/>
                <c:pt idx="0">
                  <c:v>upv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Data!$A$4:$A$9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Data!$I$4:$I$9</c:f>
              <c:numCache>
                <c:formatCode>#,##0.00,,</c:formatCode>
                <c:ptCount val="6"/>
                <c:pt idx="0">
                  <c:v>377496589.80000001</c:v>
                </c:pt>
                <c:pt idx="1">
                  <c:v>666766478.5999999</c:v>
                </c:pt>
                <c:pt idx="2">
                  <c:v>1178122859.5</c:v>
                </c:pt>
                <c:pt idx="3">
                  <c:v>1458095358.5</c:v>
                </c:pt>
                <c:pt idx="4">
                  <c:v>1730877126</c:v>
                </c:pt>
                <c:pt idx="5">
                  <c:v>2015969579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7A9-440A-9451-DFC96582F4E1}"/>
            </c:ext>
          </c:extLst>
        </c:ser>
        <c:ser>
          <c:idx val="8"/>
          <c:order val="8"/>
          <c:tx>
            <c:strRef>
              <c:f>Data!$J$3</c:f>
              <c:strCache>
                <c:ptCount val="1"/>
                <c:pt idx="0">
                  <c:v>wind-ons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Data!$A$4:$A$9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Data!$J$4:$J$9</c:f>
              <c:numCache>
                <c:formatCode>#,##0.00,,</c:formatCode>
                <c:ptCount val="6"/>
                <c:pt idx="0">
                  <c:v>613079812.10000002</c:v>
                </c:pt>
                <c:pt idx="1">
                  <c:v>989078699.70000005</c:v>
                </c:pt>
                <c:pt idx="2">
                  <c:v>1548681729.3</c:v>
                </c:pt>
                <c:pt idx="3">
                  <c:v>1816156717</c:v>
                </c:pt>
                <c:pt idx="4">
                  <c:v>2037978613</c:v>
                </c:pt>
                <c:pt idx="5">
                  <c:v>2206462751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A9-440A-9451-DFC96582F4E1}"/>
            </c:ext>
          </c:extLst>
        </c:ser>
        <c:ser>
          <c:idx val="9"/>
          <c:order val="9"/>
          <c:tx>
            <c:strRef>
              <c:f>Data!$K$3</c:f>
              <c:strCache>
                <c:ptCount val="1"/>
                <c:pt idx="0">
                  <c:v>wind-ofs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Data!$A$4:$A$9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Data!$K$4:$K$9</c:f>
              <c:numCache>
                <c:formatCode>#,##0.00,,</c:formatCode>
                <c:ptCount val="6"/>
                <c:pt idx="0">
                  <c:v>7249807.4000000004</c:v>
                </c:pt>
                <c:pt idx="1">
                  <c:v>72938920.099999994</c:v>
                </c:pt>
                <c:pt idx="2">
                  <c:v>160183089</c:v>
                </c:pt>
                <c:pt idx="3">
                  <c:v>204869866</c:v>
                </c:pt>
                <c:pt idx="4">
                  <c:v>215062988</c:v>
                </c:pt>
                <c:pt idx="5">
                  <c:v>226224604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7A9-440A-9451-DFC96582F4E1}"/>
            </c:ext>
          </c:extLst>
        </c:ser>
        <c:ser>
          <c:idx val="10"/>
          <c:order val="10"/>
          <c:tx>
            <c:strRef>
              <c:f>Data!$L$3</c:f>
              <c:strCache>
                <c:ptCount val="1"/>
                <c:pt idx="0">
                  <c:v>distpv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Data!$A$4:$A$9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Data!$L$4:$L$9</c:f>
              <c:numCache>
                <c:formatCode>#,##0.00,,</c:formatCode>
                <c:ptCount val="6"/>
                <c:pt idx="0">
                  <c:v>64249396.099999994</c:v>
                </c:pt>
                <c:pt idx="1">
                  <c:v>89704239.5</c:v>
                </c:pt>
                <c:pt idx="2">
                  <c:v>104538895.59999999</c:v>
                </c:pt>
                <c:pt idx="3">
                  <c:v>113555436.50000001</c:v>
                </c:pt>
                <c:pt idx="4">
                  <c:v>129352553.40000001</c:v>
                </c:pt>
                <c:pt idx="5">
                  <c:v>149875817.29999998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7A9-440A-9451-DFC96582F4E1}"/>
            </c:ext>
          </c:extLst>
        </c:ser>
        <c:ser>
          <c:idx val="11"/>
          <c:order val="11"/>
          <c:tx>
            <c:strRef>
              <c:f>Data!$M$3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Data!$A$4:$A$9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Data!$M$4:$M$9</c:f>
              <c:numCache>
                <c:formatCode>#,##0.00,,</c:formatCode>
                <c:ptCount val="6"/>
                <c:pt idx="0">
                  <c:v>35364682.000000007</c:v>
                </c:pt>
                <c:pt idx="1">
                  <c:v>31845788.900000002</c:v>
                </c:pt>
                <c:pt idx="2">
                  <c:v>26164579.400000006</c:v>
                </c:pt>
                <c:pt idx="3">
                  <c:v>24691645.200000007</c:v>
                </c:pt>
                <c:pt idx="4">
                  <c:v>23549952.900000006</c:v>
                </c:pt>
                <c:pt idx="5">
                  <c:v>23275210.100000001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7A9-440A-9451-DFC96582F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9609471"/>
        <c:axId val="269626271"/>
      </c:barChart>
      <c:catAx>
        <c:axId val="26960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626271"/>
        <c:crosses val="autoZero"/>
        <c:auto val="1"/>
        <c:lblAlgn val="ctr"/>
        <c:lblOffset val="100"/>
        <c:noMultiLvlLbl val="0"/>
      </c:catAx>
      <c:valAx>
        <c:axId val="26962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,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60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174811</xdr:colOff>
      <xdr:row>10</xdr:row>
      <xdr:rowOff>170328</xdr:rowOff>
    </xdr:from>
    <xdr:to>
      <xdr:col>14</xdr:col>
      <xdr:colOff>968189</xdr:colOff>
      <xdr:row>37</xdr:row>
      <xdr:rowOff>143436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548972F-7A02-84C0-DB4A-7ACC24FA2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n Ian" refreshedDate="46116.377224189811" createdVersion="8" refreshedVersion="8" minRefreshableVersion="3" recordCount="108" xr:uid="{417EC283-6BBE-4938-9260-B0C6E821E3D5}">
  <cacheSource type="worksheet">
    <worksheetSource ref="A1:AI109" sheet="Raw_Cambium24_MidCase_annual"/>
  </cacheSource>
  <cacheFields count="35">
    <cacheField name="scenario" numFmtId="0">
      <sharedItems/>
    </cacheField>
    <cacheField name="gea" numFmtId="0">
      <sharedItems/>
    </cacheField>
    <cacheField name="Year" numFmtId="0">
      <sharedItems containsSemiMixedTypes="0" containsString="0" containsNumber="1" containsInteger="1" minValue="2025" maxValue="2050" count="6">
        <n v="2025"/>
        <n v="2030"/>
        <n v="2035"/>
        <n v="2040"/>
        <n v="2045"/>
        <n v="2050"/>
      </sharedItems>
    </cacheField>
    <cacheField name="busbar_load_for_enduse" numFmtId="0">
      <sharedItems containsSemiMixedTypes="0" containsString="0" containsNumber="1" containsInteger="1" minValue="54637384" maxValue="1069900400"/>
    </cacheField>
    <cacheField name="curtailment_MWh" numFmtId="0">
      <sharedItems containsSemiMixedTypes="0" containsString="0" containsNumber="1" minValue="0" maxValue="185034130"/>
    </cacheField>
    <cacheField name="generation" numFmtId="0">
      <sharedItems containsSemiMixedTypes="0" containsString="0" containsNumber="1" containsInteger="1" minValue="50512484" maxValue="1132377700"/>
    </cacheField>
    <cacheField name="battery_MWh" numFmtId="164">
      <sharedItems containsSemiMixedTypes="0" containsString="0" containsNumber="1" minValue="2141.5" maxValue="77470460"/>
    </cacheField>
    <cacheField name="biomass_MWh" numFmtId="164">
      <sharedItems containsSemiMixedTypes="0" containsString="0" containsNumber="1" minValue="50348.1" maxValue="5986378"/>
    </cacheField>
    <cacheField name="canada_MWh" numFmtId="164">
      <sharedItems containsSemiMixedTypes="0" containsString="0" containsNumber="1" minValue="0" maxValue="16737395"/>
    </cacheField>
    <cacheField name="coal_MWh" numFmtId="164">
      <sharedItems containsSemiMixedTypes="0" containsString="0" containsNumber="1" minValue="0" maxValue="182253300"/>
    </cacheField>
    <cacheField name="csp_MWh" numFmtId="164">
      <sharedItems containsSemiMixedTypes="0" containsString="0" containsNumber="1" minValue="0" maxValue="229326.2"/>
    </cacheField>
    <cacheField name="distpv_MWh" numFmtId="164">
      <sharedItems containsSemiMixedTypes="0" containsString="0" containsNumber="1" minValue="56547.3" maxValue="28507356"/>
    </cacheField>
    <cacheField name="gas-cc_MWh" numFmtId="164">
      <sharedItems containsSemiMixedTypes="0" containsString="0" containsNumber="1" minValue="0" maxValue="371955620"/>
    </cacheField>
    <cacheField name="gas-ct_MWh" numFmtId="164">
      <sharedItems containsSemiMixedTypes="0" containsString="0" containsNumber="1" minValue="0" maxValue="11468570"/>
    </cacheField>
    <cacheField name="geothermal_MWh" numFmtId="164">
      <sharedItems containsSemiMixedTypes="0" containsString="0" containsNumber="1" minValue="0" maxValue="72699970"/>
    </cacheField>
    <cacheField name="hydro_MWh" numFmtId="164">
      <sharedItems containsSemiMixedTypes="0" containsString="0" containsNumber="1" minValue="178472.8" maxValue="130439384"/>
    </cacheField>
    <cacheField name="nuclear_MWh" numFmtId="164">
      <sharedItems containsSemiMixedTypes="0" containsString="0" containsNumber="1" minValue="0" maxValue="233058610"/>
    </cacheField>
    <cacheField name="o-g-s_MWh" numFmtId="164">
      <sharedItems containsSemiMixedTypes="0" containsString="0" containsNumber="1" minValue="0" maxValue="10514366"/>
    </cacheField>
    <cacheField name="phs_MWh" numFmtId="164">
      <sharedItems containsSemiMixedTypes="0" containsString="0" containsNumber="1" minValue="0" maxValue="11214305"/>
    </cacheField>
    <cacheField name="upv_MWh" numFmtId="164">
      <sharedItems containsSemiMixedTypes="0" containsString="0" containsNumber="1" minValue="580631" maxValue="379541440"/>
    </cacheField>
    <cacheField name="wind-ons_MWh" numFmtId="164">
      <sharedItems containsSemiMixedTypes="0" containsString="0" containsNumber="1" minValue="0" maxValue="349213760"/>
    </cacheField>
    <cacheField name="wind-ofs_MWh" numFmtId="164">
      <sharedItems containsSemiMixedTypes="0" containsString="0" containsNumber="1" minValue="0" maxValue="94892984"/>
    </cacheField>
    <cacheField name="battery_MW" numFmtId="164">
      <sharedItems containsSemiMixedTypes="0" containsString="0" containsNumber="1" minValue="1.7" maxValue="60997.5"/>
    </cacheField>
    <cacheField name="distpv_MW" numFmtId="164">
      <sharedItems containsSemiMixedTypes="0" containsString="0" containsNumber="1" minValue="34.1" maxValue="16938"/>
    </cacheField>
    <cacheField name="gas-cc_MW" numFmtId="164">
      <sharedItems containsSemiMixedTypes="0" containsString="0" containsNumber="1" minValue="0" maxValue="90585.3"/>
    </cacheField>
    <cacheField name="gas-ct_MW" numFmtId="164">
      <sharedItems containsSemiMixedTypes="0" containsString="0" containsNumber="1" minValue="0" maxValue="35713.699999999997"/>
    </cacheField>
    <cacheField name="geothermal_MW" numFmtId="164">
      <sharedItems containsSemiMixedTypes="0" containsString="0" containsNumber="1" minValue="0" maxValue="9955.1"/>
    </cacheField>
    <cacheField name="hydro_MW" numFmtId="164">
      <sharedItems containsSemiMixedTypes="0" containsString="0" containsNumber="1" minValue="54.5" maxValue="31741.5"/>
    </cacheField>
    <cacheField name="nuclear_MW" numFmtId="164">
      <sharedItems containsSemiMixedTypes="0" containsString="0" containsNumber="1" minValue="0" maxValue="29178.400000000001"/>
    </cacheField>
    <cacheField name="o-g-s_MW" numFmtId="164">
      <sharedItems containsSemiMixedTypes="0" containsString="0" containsNumber="1" minValue="0" maxValue="12192.8"/>
    </cacheField>
    <cacheField name="phs_MW" numFmtId="164">
      <sharedItems containsSemiMixedTypes="0" containsString="0" containsNumber="1" minValue="0" maxValue="6475.7" count="16">
        <n v="3911.9"/>
        <n v="5111.8999999999996"/>
        <n v="5287.2"/>
        <n v="5"/>
        <n v="0"/>
        <n v="1830.4"/>
        <n v="1801"/>
        <n v="2614.8000000000002"/>
        <n v="30"/>
        <n v="1426.8"/>
        <n v="314"/>
        <n v="5203"/>
        <n v="6475.7"/>
        <n v="444"/>
        <n v="580.79999999999995"/>
        <n v="216.3"/>
      </sharedItems>
    </cacheField>
    <cacheField name="upv_MW" numFmtId="164">
      <sharedItems containsSemiMixedTypes="0" containsString="0" containsNumber="1" minValue="275.3" maxValue="182806.8"/>
    </cacheField>
    <cacheField name="wind-ofs_MW" numFmtId="164">
      <sharedItems containsSemiMixedTypes="0" containsString="0" containsNumber="1" minValue="0" maxValue="25146.2"/>
    </cacheField>
    <cacheField name="wind-ons_MW" numFmtId="164">
      <sharedItems containsSemiMixedTypes="0" containsString="0" containsNumber="1" minValue="0" maxValue="104007.9"/>
    </cacheField>
    <cacheField name="battery_energy_cap_MWh" numFmtId="164">
      <sharedItems containsSemiMixedTypes="0" containsString="0" containsNumber="1" minValue="6.8" maxValue="243990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MidCase"/>
    <s v="CAISO"/>
    <x v="0"/>
    <n v="302088420"/>
    <n v="0"/>
    <n v="301437920"/>
    <n v="17032912"/>
    <n v="4835026"/>
    <n v="0"/>
    <n v="0"/>
    <n v="0"/>
    <n v="24006458"/>
    <n v="97282664"/>
    <n v="3806885.5"/>
    <n v="14791661"/>
    <n v="29476804"/>
    <n v="17891704"/>
    <n v="327695.40000000002"/>
    <n v="2670589.2000000002"/>
    <n v="68728720"/>
    <n v="20586816"/>
    <n v="0"/>
    <n v="13651.7"/>
    <n v="14254.5"/>
    <n v="19797"/>
    <n v="11040.1"/>
    <n v="1986.3"/>
    <n v="10220.700000000001"/>
    <n v="2240"/>
    <n v="1033.5"/>
    <x v="0"/>
    <n v="24846.3"/>
    <n v="0"/>
    <n v="6968.7"/>
    <n v="54606.8"/>
  </r>
  <r>
    <s v="MidCase"/>
    <s v="CAISO"/>
    <x v="1"/>
    <n v="338845600"/>
    <n v="606700.1"/>
    <n v="344684220"/>
    <n v="19932980"/>
    <n v="4655301.5"/>
    <n v="0"/>
    <n v="0"/>
    <n v="0"/>
    <n v="27880570"/>
    <n v="93337360"/>
    <n v="3263609.5"/>
    <n v="21292942"/>
    <n v="30795188"/>
    <n v="0"/>
    <n v="339174.40000000002"/>
    <n v="9016187"/>
    <n v="95864450"/>
    <n v="38165268"/>
    <n v="141214.1"/>
    <n v="14526.4"/>
    <n v="16545"/>
    <n v="22095"/>
    <n v="10927.5"/>
    <n v="2878.3"/>
    <n v="10705.1"/>
    <n v="0"/>
    <n v="614.6"/>
    <x v="1"/>
    <n v="35072.9"/>
    <n v="60"/>
    <n v="12497.3"/>
    <n v="58105.7"/>
  </r>
  <r>
    <s v="MidCase"/>
    <s v="CAISO"/>
    <x v="2"/>
    <n v="403000160"/>
    <n v="2744557.5"/>
    <n v="416409660"/>
    <n v="35333456"/>
    <n v="2293102.7999999998"/>
    <n v="0"/>
    <n v="0"/>
    <n v="0"/>
    <n v="26830626"/>
    <n v="75889050"/>
    <n v="2298422.2000000002"/>
    <n v="33280298"/>
    <n v="32512512"/>
    <n v="0"/>
    <n v="212003.6"/>
    <n v="10309717"/>
    <n v="140559500"/>
    <n v="40659252"/>
    <n v="16231731"/>
    <n v="25706.400000000001"/>
    <n v="15924.8"/>
    <n v="21985"/>
    <n v="10531.6"/>
    <n v="4689.7"/>
    <n v="11240.2"/>
    <n v="0"/>
    <n v="614.6"/>
    <x v="1"/>
    <n v="51056.6"/>
    <n v="3683"/>
    <n v="12885.4"/>
    <n v="102825.7"/>
  </r>
  <r>
    <s v="MidCase"/>
    <s v="CAISO"/>
    <x v="3"/>
    <n v="459452320"/>
    <n v="3704959.2"/>
    <n v="477821440"/>
    <n v="50599100"/>
    <n v="1946912.2"/>
    <n v="0"/>
    <n v="0"/>
    <n v="0"/>
    <n v="26847772"/>
    <n v="77152376"/>
    <n v="1244699.1000000001"/>
    <n v="33615412"/>
    <n v="32514404"/>
    <n v="0"/>
    <n v="68979.899999999994"/>
    <n v="10665249"/>
    <n v="168725490"/>
    <n v="41499124"/>
    <n v="32941936"/>
    <n v="36829.1"/>
    <n v="15944.1"/>
    <n v="23749.5"/>
    <n v="10711.1"/>
    <n v="4736.2"/>
    <n v="11240.9"/>
    <n v="0"/>
    <n v="169.2"/>
    <x v="1"/>
    <n v="61435.9"/>
    <n v="7602"/>
    <n v="12897.1"/>
    <n v="147316.4"/>
  </r>
  <r>
    <s v="MidCase"/>
    <s v="CAISO"/>
    <x v="4"/>
    <n v="519194720"/>
    <n v="5084449"/>
    <n v="542441800"/>
    <n v="65899210"/>
    <n v="1946912.2"/>
    <n v="0"/>
    <n v="0"/>
    <n v="0"/>
    <n v="27252186"/>
    <n v="67227900"/>
    <n v="799444.8"/>
    <n v="71611400"/>
    <n v="32513860"/>
    <n v="0"/>
    <n v="46956"/>
    <n v="11214305"/>
    <n v="198066100"/>
    <n v="32613114"/>
    <n v="33250410"/>
    <n v="48194"/>
    <n v="16196.3"/>
    <n v="23128.5"/>
    <n v="9476.2999999999993"/>
    <n v="9931.7999999999993"/>
    <n v="11240.9"/>
    <n v="0"/>
    <n v="166.4"/>
    <x v="2"/>
    <n v="72222.7"/>
    <n v="7602"/>
    <n v="11063.3"/>
    <n v="193169"/>
  </r>
  <r>
    <s v="MidCase"/>
    <s v="CAISO"/>
    <x v="5"/>
    <n v="571970240"/>
    <n v="5239836.5"/>
    <n v="591425000"/>
    <n v="76959630"/>
    <n v="1946912.2"/>
    <n v="0"/>
    <n v="0"/>
    <n v="0"/>
    <n v="28507356"/>
    <n v="69709976"/>
    <n v="517853.4"/>
    <n v="72699970"/>
    <n v="32513996"/>
    <n v="0"/>
    <n v="36301.199999999997"/>
    <n v="10900823"/>
    <n v="218374110"/>
    <n v="45900930"/>
    <n v="33357164"/>
    <n v="54265.1"/>
    <n v="16938"/>
    <n v="24320.1"/>
    <n v="10343.299999999999"/>
    <n v="9955.1"/>
    <n v="11240.9"/>
    <n v="0"/>
    <n v="166.4"/>
    <x v="2"/>
    <n v="79203.100000000006"/>
    <n v="7602"/>
    <n v="14083.6"/>
    <n v="228630.7"/>
  </r>
  <r>
    <s v="MidCase"/>
    <s v="ERCOT"/>
    <x v="0"/>
    <n v="425158500"/>
    <n v="1179139.8"/>
    <n v="438493630"/>
    <n v="6917605"/>
    <n v="599889.19999999995"/>
    <n v="0"/>
    <n v="59364376"/>
    <n v="0"/>
    <n v="4564623"/>
    <n v="111167850"/>
    <n v="1233917.6000000001"/>
    <n v="0"/>
    <n v="656955.19999999995"/>
    <n v="39777090"/>
    <n v="1491274.6"/>
    <n v="2946.4"/>
    <n v="85544104"/>
    <n v="127173010"/>
    <n v="0"/>
    <n v="7596.7"/>
    <n v="2951.8"/>
    <n v="36165.699999999997"/>
    <n v="8767.2000000000007"/>
    <n v="0"/>
    <n v="562.70000000000005"/>
    <n v="4980"/>
    <n v="9669"/>
    <x v="3"/>
    <n v="34348.9"/>
    <n v="0"/>
    <n v="37044.199999999997"/>
    <n v="30386.6"/>
  </r>
  <r>
    <s v="MidCase"/>
    <s v="ERCOT"/>
    <x v="1"/>
    <n v="464480770"/>
    <n v="37445836"/>
    <n v="486251420"/>
    <n v="12644303"/>
    <n v="599889.19999999995"/>
    <n v="0"/>
    <n v="12346780"/>
    <n v="0"/>
    <n v="10537535"/>
    <n v="88840970"/>
    <n v="1395848.5"/>
    <n v="0"/>
    <n v="636228.19999999995"/>
    <n v="39777090"/>
    <n v="1183618.5"/>
    <n v="5793.5"/>
    <n v="127855310"/>
    <n v="190428020"/>
    <n v="0"/>
    <n v="10412.5"/>
    <n v="6852.1"/>
    <n v="37220.300000000003"/>
    <n v="8446"/>
    <n v="0"/>
    <n v="562.70000000000005"/>
    <n v="4980"/>
    <n v="7439"/>
    <x v="3"/>
    <n v="58284.9"/>
    <n v="0"/>
    <n v="51520.2"/>
    <n v="41649.9"/>
  </r>
  <r>
    <s v="MidCase"/>
    <s v="ERCOT"/>
    <x v="2"/>
    <n v="525763500"/>
    <n v="84725656"/>
    <n v="562804540"/>
    <n v="16263773"/>
    <n v="599889.19999999995"/>
    <n v="0"/>
    <n v="0"/>
    <n v="0"/>
    <n v="14684037"/>
    <n v="68278500"/>
    <n v="1637833.8"/>
    <n v="0"/>
    <n v="622847.4"/>
    <n v="39777090"/>
    <n v="1139396.3999999999"/>
    <n v="7654.1"/>
    <n v="158811820"/>
    <n v="260981710"/>
    <n v="0"/>
    <n v="12815.7"/>
    <n v="9563.7999999999993"/>
    <n v="37319.1"/>
    <n v="7954"/>
    <n v="0"/>
    <n v="562.70000000000005"/>
    <n v="4980"/>
    <n v="6789"/>
    <x v="3"/>
    <n v="83378.2"/>
    <n v="0"/>
    <n v="75003.600000000006"/>
    <n v="51262.9"/>
  </r>
  <r>
    <s v="MidCase"/>
    <s v="ERCOT"/>
    <x v="3"/>
    <n v="587657340"/>
    <n v="78444470"/>
    <n v="633378750"/>
    <n v="26623136"/>
    <n v="599889.19999999995"/>
    <n v="0"/>
    <n v="0"/>
    <n v="0"/>
    <n v="15931173"/>
    <n v="82132910"/>
    <n v="1463521.9"/>
    <n v="0"/>
    <n v="623547.69999999995"/>
    <n v="39777090"/>
    <n v="245750.39999999999"/>
    <n v="7530.4"/>
    <n v="191085200"/>
    <n v="274889020"/>
    <n v="0"/>
    <n v="22449.7"/>
    <n v="10372.1"/>
    <n v="44974.400000000001"/>
    <n v="18031.900000000001"/>
    <n v="0"/>
    <n v="562.70000000000005"/>
    <n v="4980"/>
    <n v="5521"/>
    <x v="3"/>
    <n v="94069.9"/>
    <n v="0"/>
    <n v="77072.2"/>
    <n v="89798.9"/>
  </r>
  <r>
    <s v="MidCase"/>
    <s v="ERCOT"/>
    <x v="4"/>
    <n v="636448960"/>
    <n v="149433400"/>
    <n v="683842700"/>
    <n v="24336022"/>
    <n v="599889.19999999995"/>
    <n v="0"/>
    <n v="0"/>
    <n v="0"/>
    <n v="18201576"/>
    <n v="73624960"/>
    <n v="2332484.7999999998"/>
    <n v="0"/>
    <n v="604632.6"/>
    <n v="39777090"/>
    <n v="308065.40000000002"/>
    <n v="7717.4"/>
    <n v="205197490"/>
    <n v="318852770"/>
    <n v="0"/>
    <n v="20499.5"/>
    <n v="11865.6"/>
    <n v="43712.3"/>
    <n v="16832.900000000001"/>
    <n v="0"/>
    <n v="562.70000000000005"/>
    <n v="4980"/>
    <n v="3273.2"/>
    <x v="3"/>
    <n v="116217.9"/>
    <n v="0"/>
    <n v="92246.7"/>
    <n v="81998"/>
  </r>
  <r>
    <s v="MidCase"/>
    <s v="ERCOT"/>
    <x v="5"/>
    <n v="681279900"/>
    <n v="185034130"/>
    <n v="741918340"/>
    <n v="34806036"/>
    <n v="599889.19999999995"/>
    <n v="0"/>
    <n v="0"/>
    <n v="0"/>
    <n v="22311388"/>
    <n v="65579724"/>
    <n v="1706069.6"/>
    <n v="0"/>
    <n v="590159.30000000005"/>
    <n v="39777090"/>
    <n v="66782.3"/>
    <n v="6798.4"/>
    <n v="227260620"/>
    <n v="349213760"/>
    <n v="0"/>
    <n v="31089.599999999999"/>
    <n v="14511.8"/>
    <n v="44832.5"/>
    <n v="16624.900000000001"/>
    <n v="0"/>
    <n v="562.70000000000005"/>
    <n v="4980"/>
    <n v="1259.2"/>
    <x v="3"/>
    <n v="129261"/>
    <n v="0"/>
    <n v="104007.9"/>
    <n v="124358.39999999999"/>
  </r>
  <r>
    <s v="MidCase"/>
    <s v="FRCC"/>
    <x v="0"/>
    <n v="271088480"/>
    <n v="0"/>
    <n v="270654500"/>
    <n v="538761.1"/>
    <n v="3635373.5"/>
    <n v="0"/>
    <n v="26695728"/>
    <n v="0"/>
    <n v="2802890.2"/>
    <n v="183189470"/>
    <n v="1512994.4"/>
    <n v="0"/>
    <n v="216437.4"/>
    <n v="29281690"/>
    <n v="559293"/>
    <n v="0"/>
    <n v="22221862"/>
    <n v="0"/>
    <n v="0"/>
    <n v="688.2"/>
    <n v="1771.9"/>
    <n v="38501.9"/>
    <n v="8691.7999999999993"/>
    <n v="0"/>
    <n v="54.5"/>
    <n v="3666"/>
    <n v="4583.5"/>
    <x v="4"/>
    <n v="9294.2999999999993"/>
    <n v="0"/>
    <n v="0"/>
    <n v="2752.9"/>
  </r>
  <r>
    <s v="MidCase"/>
    <s v="FRCC"/>
    <x v="1"/>
    <n v="295049900"/>
    <n v="0"/>
    <n v="297712500"/>
    <n v="2366261"/>
    <n v="3694621.5"/>
    <n v="0"/>
    <n v="8514026"/>
    <n v="0"/>
    <n v="5482469"/>
    <n v="214009810"/>
    <n v="414339.9"/>
    <n v="0"/>
    <n v="229464"/>
    <n v="29281690"/>
    <n v="34592.6"/>
    <n v="0"/>
    <n v="33068518"/>
    <n v="616732.19999999995"/>
    <n v="0"/>
    <n v="2553.1999999999998"/>
    <n v="3463.9"/>
    <n v="47095.6"/>
    <n v="8517.7999999999993"/>
    <n v="0"/>
    <n v="57.5"/>
    <n v="3666"/>
    <n v="4161.5"/>
    <x v="4"/>
    <n v="13658.3"/>
    <n v="0"/>
    <n v="290"/>
    <n v="10212.9"/>
  </r>
  <r>
    <s v="MidCase"/>
    <s v="FRCC"/>
    <x v="2"/>
    <n v="330842620"/>
    <n v="1343092.8"/>
    <n v="353064000"/>
    <n v="18380008"/>
    <n v="3694621.5"/>
    <n v="0"/>
    <n v="0"/>
    <n v="0"/>
    <n v="8840111"/>
    <n v="177292110"/>
    <n v="329403.5"/>
    <n v="0"/>
    <n v="229388.5"/>
    <n v="29281690"/>
    <n v="36375.199999999997"/>
    <n v="0"/>
    <n v="114361576"/>
    <n v="618695.80000000005"/>
    <n v="0"/>
    <n v="13092.8"/>
    <n v="5616"/>
    <n v="46923.6"/>
    <n v="8420.7999999999993"/>
    <n v="0"/>
    <n v="57.5"/>
    <n v="3666"/>
    <n v="3929.5"/>
    <x v="4"/>
    <n v="47298"/>
    <n v="0"/>
    <n v="290"/>
    <n v="52371.199999999997"/>
  </r>
  <r>
    <s v="MidCase"/>
    <s v="FRCC"/>
    <x v="3"/>
    <n v="372987650"/>
    <n v="3352929"/>
    <n v="402362500"/>
    <n v="24552370"/>
    <n v="3695575.5"/>
    <n v="0"/>
    <n v="0"/>
    <n v="0"/>
    <n v="10795376"/>
    <n v="182313000"/>
    <n v="197670"/>
    <n v="0"/>
    <n v="229237.4"/>
    <n v="29281690"/>
    <n v="13381.4"/>
    <n v="0"/>
    <n v="142808220"/>
    <n v="8475979"/>
    <n v="0"/>
    <n v="18398.3"/>
    <n v="6860.2"/>
    <n v="51879.5"/>
    <n v="8408.7999999999993"/>
    <n v="0"/>
    <n v="57.5"/>
    <n v="3666"/>
    <n v="3744.2"/>
    <x v="4"/>
    <n v="59766.5"/>
    <n v="0"/>
    <n v="3624"/>
    <n v="73593.399999999994"/>
  </r>
  <r>
    <s v="MidCase"/>
    <s v="FRCC"/>
    <x v="4"/>
    <n v="414660220"/>
    <n v="7409824"/>
    <n v="449642180"/>
    <n v="29172412"/>
    <n v="3179972.8"/>
    <n v="0"/>
    <n v="0"/>
    <n v="0"/>
    <n v="13187224"/>
    <n v="197030860"/>
    <n v="61959"/>
    <n v="0"/>
    <n v="229237.4"/>
    <n v="29281690"/>
    <n v="3102.7"/>
    <n v="0"/>
    <n v="168932180"/>
    <n v="8563559"/>
    <n v="0"/>
    <n v="21961.1"/>
    <n v="8403.5"/>
    <n v="60086.400000000001"/>
    <n v="8334.7999999999993"/>
    <n v="0"/>
    <n v="57.5"/>
    <n v="3666"/>
    <n v="3272.2"/>
    <x v="4"/>
    <n v="71451.199999999997"/>
    <n v="0"/>
    <n v="3624"/>
    <n v="87844.3"/>
  </r>
  <r>
    <s v="MidCase"/>
    <s v="FRCC"/>
    <x v="5"/>
    <n v="456684600"/>
    <n v="10333544"/>
    <n v="501080480"/>
    <n v="36824164"/>
    <n v="3179972.8"/>
    <n v="0"/>
    <n v="0"/>
    <n v="0"/>
    <n v="14335922"/>
    <n v="211757810"/>
    <n v="13648.3"/>
    <n v="0"/>
    <n v="229161.9"/>
    <n v="29281690"/>
    <n v="1.9"/>
    <n v="0"/>
    <n v="196819900"/>
    <n v="8638213"/>
    <n v="0"/>
    <n v="28018.3"/>
    <n v="9160.5"/>
    <n v="67635.399999999994"/>
    <n v="7441.8"/>
    <n v="0"/>
    <n v="57.5"/>
    <n v="3666"/>
    <n v="2267.1"/>
    <x v="4"/>
    <n v="83407.7"/>
    <n v="0"/>
    <n v="3624"/>
    <n v="112073.2"/>
  </r>
  <r>
    <s v="MidCase"/>
    <s v="ISONE"/>
    <x v="0"/>
    <n v="129221030"/>
    <n v="1330501.3999999999"/>
    <n v="131849640"/>
    <n v="276502.59999999998"/>
    <n v="5986378"/>
    <n v="15028038"/>
    <n v="0"/>
    <n v="0"/>
    <n v="5695299.5"/>
    <n v="50268844"/>
    <n v="425087.2"/>
    <n v="0"/>
    <n v="6950209.5"/>
    <n v="26081950"/>
    <n v="537723.30000000005"/>
    <n v="1212285.2"/>
    <n v="5210545"/>
    <n v="7393313"/>
    <n v="6783461"/>
    <n v="246.2"/>
    <n v="4366.8999999999996"/>
    <n v="13615.9"/>
    <n v="2132.6999999999998"/>
    <n v="0"/>
    <n v="1959.1"/>
    <n v="3265.4"/>
    <n v="5115.3"/>
    <x v="5"/>
    <n v="3030"/>
    <n v="1695.4"/>
    <n v="2351.4"/>
    <n v="984.7"/>
  </r>
  <r>
    <s v="MidCase"/>
    <s v="ISONE"/>
    <x v="1"/>
    <n v="141726900"/>
    <n v="3291972.5"/>
    <n v="145462960"/>
    <n v="433154.6"/>
    <n v="5308728"/>
    <n v="15622685"/>
    <n v="0"/>
    <n v="0"/>
    <n v="7855220"/>
    <n v="32800412"/>
    <n v="477675.4"/>
    <n v="0"/>
    <n v="6727494.5"/>
    <n v="26081950"/>
    <n v="441722.6"/>
    <n v="1764438.4"/>
    <n v="6938593.5"/>
    <n v="11278219"/>
    <n v="29732662"/>
    <n v="384.7"/>
    <n v="5923"/>
    <n v="12274.6"/>
    <n v="1804.7"/>
    <n v="0"/>
    <n v="1963.8"/>
    <n v="3265.4"/>
    <n v="1602.3"/>
    <x v="6"/>
    <n v="3984.7"/>
    <n v="7502"/>
    <n v="3491.5"/>
    <n v="1539"/>
  </r>
  <r>
    <s v="MidCase"/>
    <s v="ISONE"/>
    <x v="2"/>
    <n v="158268560"/>
    <n v="1107504.8"/>
    <n v="165627600"/>
    <n v="1713724.6"/>
    <n v="3461395.5"/>
    <n v="16737395"/>
    <n v="0"/>
    <n v="0"/>
    <n v="9662748"/>
    <n v="34251600"/>
    <n v="620442.19999999995"/>
    <n v="0"/>
    <n v="7363137"/>
    <n v="26081950"/>
    <n v="643528.19999999995"/>
    <n v="1889726.8"/>
    <n v="7528385"/>
    <n v="18938852"/>
    <n v="36734710"/>
    <n v="2129.9"/>
    <n v="7004"/>
    <n v="12178.5"/>
    <n v="1804.7"/>
    <n v="0"/>
    <n v="1978.8"/>
    <n v="3265.4"/>
    <n v="1457.3"/>
    <x v="6"/>
    <n v="3984.7"/>
    <n v="9186"/>
    <n v="5086.3999999999996"/>
    <n v="8519.6"/>
  </r>
  <r>
    <s v="MidCase"/>
    <s v="ISONE"/>
    <x v="3"/>
    <n v="176392830"/>
    <n v="5325175"/>
    <n v="194486190"/>
    <n v="1725539.8"/>
    <n v="2924431.8"/>
    <n v="16622646"/>
    <n v="0"/>
    <n v="0"/>
    <n v="9883335"/>
    <n v="36276264"/>
    <n v="3921473.2"/>
    <n v="0"/>
    <n v="7215574.5"/>
    <n v="26081950"/>
    <n v="701439.9"/>
    <n v="1806208.2"/>
    <n v="8170125"/>
    <n v="33527546"/>
    <n v="45629660"/>
    <n v="1975.8"/>
    <n v="7160"/>
    <n v="13509"/>
    <n v="10730.8"/>
    <n v="0"/>
    <n v="1985.8"/>
    <n v="3265.4"/>
    <n v="1457.3"/>
    <x v="6"/>
    <n v="4391.2"/>
    <n v="12030"/>
    <n v="9573.7999999999993"/>
    <n v="7903"/>
  </r>
  <r>
    <s v="MidCase"/>
    <s v="ISONE"/>
    <x v="4"/>
    <n v="193680260"/>
    <n v="7517249"/>
    <n v="212457200"/>
    <n v="1824790.6"/>
    <n v="2924431.8"/>
    <n v="16132912"/>
    <n v="0"/>
    <n v="0"/>
    <n v="10660691"/>
    <n v="35439492"/>
    <n v="4488118.5"/>
    <n v="0"/>
    <n v="7300878.5"/>
    <n v="26081950"/>
    <n v="289157.2"/>
    <n v="1954022.3999999999"/>
    <n v="9228344"/>
    <n v="44605904"/>
    <n v="51526508"/>
    <n v="1975.8"/>
    <n v="7693.9"/>
    <n v="14052.5"/>
    <n v="12983.8"/>
    <n v="0"/>
    <n v="1985.8"/>
    <n v="3265.4"/>
    <n v="1420.9"/>
    <x v="6"/>
    <n v="4987.3999999999996"/>
    <n v="13439.3"/>
    <n v="13118.4"/>
    <n v="7903"/>
  </r>
  <r>
    <s v="MidCase"/>
    <s v="ISONE"/>
    <x v="5"/>
    <n v="208983650"/>
    <n v="11207097"/>
    <n v="229832670"/>
    <n v="554599.19999999995"/>
    <n v="2924431.8"/>
    <n v="16539392"/>
    <n v="0"/>
    <n v="0"/>
    <n v="10814105"/>
    <n v="32445356"/>
    <n v="4712205"/>
    <n v="0"/>
    <n v="7309517.5"/>
    <n v="26081950"/>
    <n v="230861.5"/>
    <n v="2147368.7999999998"/>
    <n v="14830043"/>
    <n v="50361908"/>
    <n v="60880940"/>
    <n v="474.3"/>
    <n v="7818.2"/>
    <n v="12711.2"/>
    <n v="15059.5"/>
    <n v="0"/>
    <n v="1985.8"/>
    <n v="3265.4"/>
    <n v="802.3"/>
    <x v="6"/>
    <n v="8675.2999999999993"/>
    <n v="15842.6"/>
    <n v="14900.1"/>
    <n v="1897.4"/>
  </r>
  <r>
    <s v="MidCase"/>
    <s v="MISO_Central"/>
    <x v="0"/>
    <n v="317955460"/>
    <n v="1789.2"/>
    <n v="304215970"/>
    <n v="31645.200000000001"/>
    <n v="2190484.5"/>
    <n v="3057815.5"/>
    <n v="133707560"/>
    <n v="0"/>
    <n v="511664"/>
    <n v="45211348"/>
    <n v="1773998.4"/>
    <n v="0"/>
    <n v="1715114.6"/>
    <n v="42109404"/>
    <n v="2412240.2000000002"/>
    <n v="1592594.4"/>
    <n v="15353757"/>
    <n v="54548364"/>
    <n v="0"/>
    <n v="29.1"/>
    <n v="351.9"/>
    <n v="11721.7"/>
    <n v="11720.2"/>
    <n v="0"/>
    <n v="489.6"/>
    <n v="5272"/>
    <n v="3817.1"/>
    <x v="7"/>
    <n v="7262.7"/>
    <n v="0"/>
    <n v="16744.099999999999"/>
    <n v="116.4"/>
  </r>
  <r>
    <s v="MidCase"/>
    <s v="MISO_Central"/>
    <x v="1"/>
    <n v="339330270"/>
    <n v="512514.3"/>
    <n v="333602200"/>
    <n v="1464991.5"/>
    <n v="2190484.5"/>
    <n v="5128009.5"/>
    <n v="41529268"/>
    <n v="0"/>
    <n v="720087"/>
    <n v="62260052"/>
    <n v="2001076.2"/>
    <n v="0"/>
    <n v="1772308.4"/>
    <n v="42109404"/>
    <n v="5107426"/>
    <n v="1853423.2"/>
    <n v="45313036"/>
    <n v="122152640"/>
    <n v="0"/>
    <n v="1166.2"/>
    <n v="490.9"/>
    <n v="14654.1"/>
    <n v="11466.2"/>
    <n v="0"/>
    <n v="510.6"/>
    <n v="5272"/>
    <n v="4416.2"/>
    <x v="7"/>
    <n v="20959.5"/>
    <n v="0"/>
    <n v="33563.5"/>
    <n v="4665"/>
  </r>
  <r>
    <s v="MidCase"/>
    <s v="MISO_Central"/>
    <x v="2"/>
    <n v="371663940"/>
    <n v="12374229"/>
    <n v="448498600"/>
    <n v="6495000.5"/>
    <n v="1819986.8"/>
    <n v="4939595"/>
    <n v="0"/>
    <n v="0"/>
    <n v="989556.6"/>
    <n v="55567030"/>
    <n v="4445855.5"/>
    <n v="0"/>
    <n v="1708849"/>
    <n v="42109404"/>
    <n v="4074852.8"/>
    <n v="2880590.2"/>
    <n v="85530770"/>
    <n v="237937060"/>
    <n v="0"/>
    <n v="5014"/>
    <n v="678.2"/>
    <n v="18197.400000000001"/>
    <n v="12501.4"/>
    <n v="0"/>
    <n v="510.6"/>
    <n v="5272"/>
    <n v="4285.8999999999996"/>
    <x v="7"/>
    <n v="40566.5"/>
    <n v="0"/>
    <n v="68682.7"/>
    <n v="20055.900000000001"/>
  </r>
  <r>
    <s v="MidCase"/>
    <s v="MISO_Central"/>
    <x v="3"/>
    <n v="402937660"/>
    <n v="16965392"/>
    <n v="501200030"/>
    <n v="11462444"/>
    <n v="1282286.3999999999"/>
    <n v="4157548.8"/>
    <n v="0"/>
    <n v="0"/>
    <n v="1181320.3999999999"/>
    <n v="58128090"/>
    <n v="3669520.5"/>
    <n v="0"/>
    <n v="1717244.2"/>
    <n v="42109404"/>
    <n v="3173827"/>
    <n v="2876303.8"/>
    <n v="112340880"/>
    <n v="259101150"/>
    <n v="0"/>
    <n v="9156"/>
    <n v="810.1"/>
    <n v="19978.400000000001"/>
    <n v="13843.2"/>
    <n v="0"/>
    <n v="510.6"/>
    <n v="5272"/>
    <n v="4235.6000000000004"/>
    <x v="7"/>
    <n v="53145"/>
    <n v="0"/>
    <n v="74303.600000000006"/>
    <n v="36624.199999999997"/>
  </r>
  <r>
    <s v="MidCase"/>
    <s v="MISO_Central"/>
    <x v="4"/>
    <n v="432635600"/>
    <n v="37146468"/>
    <n v="570737200"/>
    <n v="10293650"/>
    <n v="1282286.3999999999"/>
    <n v="3209946.8"/>
    <n v="0"/>
    <n v="0"/>
    <n v="1715501.2"/>
    <n v="50859956"/>
    <n v="5964145.5"/>
    <n v="0"/>
    <n v="1670825.4"/>
    <n v="42109404"/>
    <n v="3380420"/>
    <n v="3070161.2"/>
    <n v="130883690"/>
    <n v="316297250"/>
    <n v="0"/>
    <n v="8066.2"/>
    <n v="1179.2"/>
    <n v="16655.3"/>
    <n v="16187"/>
    <n v="0"/>
    <n v="510.6"/>
    <n v="5272"/>
    <n v="4085"/>
    <x v="7"/>
    <n v="63647.8"/>
    <n v="0"/>
    <n v="93291.4"/>
    <n v="32264.7"/>
  </r>
  <r>
    <s v="MidCase"/>
    <s v="MISO_Central"/>
    <x v="5"/>
    <n v="457002400"/>
    <n v="47693640"/>
    <n v="625374200"/>
    <n v="12616926"/>
    <n v="1282286.3999999999"/>
    <n v="2787315.2"/>
    <n v="0"/>
    <n v="0"/>
    <n v="2794504.2"/>
    <n v="55157120"/>
    <n v="5623608"/>
    <n v="0"/>
    <n v="1652170.4"/>
    <n v="42109404"/>
    <n v="2750206.8"/>
    <n v="3170600.8"/>
    <n v="153179790"/>
    <n v="342250270"/>
    <n v="0"/>
    <n v="9669.4"/>
    <n v="1905.4"/>
    <n v="18060.900000000001"/>
    <n v="16723.3"/>
    <n v="0"/>
    <n v="510.6"/>
    <n v="5272"/>
    <n v="2999.4"/>
    <x v="7"/>
    <n v="75906.8"/>
    <n v="0"/>
    <n v="100883.1"/>
    <n v="38677.800000000003"/>
  </r>
  <r>
    <s v="MidCase"/>
    <s v="MISO_North"/>
    <x v="0"/>
    <n v="230686300"/>
    <n v="10692.5"/>
    <n v="218206430"/>
    <n v="71930.8"/>
    <n v="2158853"/>
    <n v="8211485.5"/>
    <n v="59664716"/>
    <n v="0"/>
    <n v="1366677.4"/>
    <n v="30608538"/>
    <n v="2631701.2000000002"/>
    <n v="0"/>
    <n v="4494981.5"/>
    <n v="22761602"/>
    <n v="1275750.8999999999"/>
    <n v="0"/>
    <n v="7892754.5"/>
    <n v="77067430"/>
    <n v="0"/>
    <n v="69.3"/>
    <n v="964.6"/>
    <n v="7633.3"/>
    <n v="7105.3"/>
    <n v="0"/>
    <n v="925.4"/>
    <n v="2849.7"/>
    <n v="2482.6"/>
    <x v="4"/>
    <n v="3911.3"/>
    <n v="0"/>
    <n v="21758.400000000001"/>
    <n v="277"/>
  </r>
  <r>
    <s v="MidCase"/>
    <s v="MISO_North"/>
    <x v="1"/>
    <n v="256627100"/>
    <n v="8713459"/>
    <n v="260680240"/>
    <n v="2426602.2000000002"/>
    <n v="1436489.4"/>
    <n v="13947470"/>
    <n v="28498420"/>
    <n v="0"/>
    <n v="1881938.4"/>
    <n v="31486582"/>
    <n v="1847482.8"/>
    <n v="0"/>
    <n v="4625169.5"/>
    <n v="22761602"/>
    <n v="904423.4"/>
    <n v="0"/>
    <n v="25596254"/>
    <n v="125267800"/>
    <n v="0"/>
    <n v="2109.9"/>
    <n v="1339.7"/>
    <n v="8922.4"/>
    <n v="6336.1"/>
    <n v="0"/>
    <n v="953.4"/>
    <n v="2849.7"/>
    <n v="1519.4"/>
    <x v="4"/>
    <n v="12785.4"/>
    <n v="0"/>
    <n v="33582.199999999997"/>
    <n v="8439.6"/>
  </r>
  <r>
    <s v="MidCase"/>
    <s v="MISO_North"/>
    <x v="2"/>
    <n v="290110820"/>
    <n v="16944746"/>
    <n v="282656960"/>
    <n v="2337018"/>
    <n v="1436489.4"/>
    <n v="12732902"/>
    <n v="0"/>
    <n v="0"/>
    <n v="2398667.5"/>
    <n v="44149030"/>
    <n v="4905453"/>
    <n v="0"/>
    <n v="4553922"/>
    <n v="22761602"/>
    <n v="756209.9"/>
    <n v="0"/>
    <n v="35060356"/>
    <n v="151565310"/>
    <n v="0"/>
    <n v="2109.6999999999998"/>
    <n v="1712"/>
    <n v="14988.5"/>
    <n v="13837"/>
    <n v="0"/>
    <n v="953.4"/>
    <n v="2849.7"/>
    <n v="1445"/>
    <x v="4"/>
    <n v="17347.400000000001"/>
    <n v="0"/>
    <n v="42003.1"/>
    <n v="8438.7000000000007"/>
  </r>
  <r>
    <s v="MidCase"/>
    <s v="MISO_North"/>
    <x v="3"/>
    <n v="315758500"/>
    <n v="24798276"/>
    <n v="312292540"/>
    <n v="2719255"/>
    <n v="1436489.4"/>
    <n v="12368035"/>
    <n v="0"/>
    <n v="0"/>
    <n v="3146315"/>
    <n v="39947550"/>
    <n v="5363340.5"/>
    <n v="0"/>
    <n v="4490730.5"/>
    <n v="22761602"/>
    <n v="651615.19999999995"/>
    <n v="0"/>
    <n v="36571936"/>
    <n v="182835680"/>
    <n v="0"/>
    <n v="2492.1999999999998"/>
    <n v="2248.6"/>
    <n v="14988.5"/>
    <n v="17679.8"/>
    <n v="0"/>
    <n v="953.4"/>
    <n v="2849.7"/>
    <n v="1422.8"/>
    <x v="4"/>
    <n v="18140.5"/>
    <n v="0"/>
    <n v="51162.7"/>
    <n v="9968.7000000000007"/>
  </r>
  <r>
    <s v="MidCase"/>
    <s v="MISO_North"/>
    <x v="4"/>
    <n v="339224830"/>
    <n v="22385064"/>
    <n v="323185660"/>
    <n v="831483.5"/>
    <n v="1436489.4"/>
    <n v="12187371"/>
    <n v="0"/>
    <n v="0"/>
    <n v="4147641.5"/>
    <n v="40190690"/>
    <n v="10629052"/>
    <n v="0"/>
    <n v="4504928"/>
    <n v="22761602"/>
    <n v="157775.70000000001"/>
    <n v="0"/>
    <n v="44510676"/>
    <n v="181827970"/>
    <n v="0"/>
    <n v="747.4"/>
    <n v="2968.3"/>
    <n v="14829"/>
    <n v="30383.599999999999"/>
    <n v="0"/>
    <n v="953.4"/>
    <n v="2849.7"/>
    <n v="881.9"/>
    <x v="4"/>
    <n v="22051.5"/>
    <n v="0"/>
    <n v="49688.5"/>
    <n v="2989.5"/>
  </r>
  <r>
    <s v="MidCase"/>
    <s v="MISO_North"/>
    <x v="5"/>
    <n v="358360260"/>
    <n v="23219432"/>
    <n v="340780740"/>
    <n v="869621.1"/>
    <n v="1193419.2"/>
    <n v="12062045"/>
    <n v="0"/>
    <n v="0"/>
    <n v="5379517"/>
    <n v="44803388"/>
    <n v="11468570"/>
    <n v="0"/>
    <n v="4514838.5"/>
    <n v="18021100"/>
    <n v="137253.9"/>
    <n v="0"/>
    <n v="52926190"/>
    <n v="189404800"/>
    <n v="0"/>
    <n v="747.4"/>
    <n v="3859.7"/>
    <n v="16141.7"/>
    <n v="34516.300000000003"/>
    <n v="0"/>
    <n v="953.4"/>
    <n v="2256.1999999999998"/>
    <n v="642.1"/>
    <x v="4"/>
    <n v="26153.599999999999"/>
    <n v="0"/>
    <n v="51209.5"/>
    <n v="2989.5"/>
  </r>
  <r>
    <s v="MidCase"/>
    <s v="MISO_South"/>
    <x v="0"/>
    <n v="216510820"/>
    <n v="0"/>
    <n v="210365000"/>
    <n v="200721.6"/>
    <n v="1198375.8"/>
    <n v="0"/>
    <n v="28371190"/>
    <n v="0"/>
    <n v="693538.9"/>
    <n v="108510540"/>
    <n v="670188.19999999995"/>
    <n v="0"/>
    <n v="3647090.5"/>
    <n v="42746000"/>
    <n v="7325145"/>
    <n v="11690.4"/>
    <n v="9318553"/>
    <n v="7671961"/>
    <n v="0"/>
    <n v="213.9"/>
    <n v="454.7"/>
    <n v="19218.3"/>
    <n v="3385.5"/>
    <n v="0"/>
    <n v="1245.2"/>
    <n v="5351.7"/>
    <n v="9226.2999999999993"/>
    <x v="8"/>
    <n v="4149.8"/>
    <n v="0"/>
    <n v="2999.2"/>
    <n v="855.7"/>
  </r>
  <r>
    <s v="MidCase"/>
    <s v="MISO_South"/>
    <x v="1"/>
    <n v="230936060"/>
    <n v="208351.4"/>
    <n v="220820320"/>
    <n v="309845.2"/>
    <n v="1116615.8999999999"/>
    <n v="0"/>
    <n v="3279896.2"/>
    <n v="0"/>
    <n v="1293057.1000000001"/>
    <n v="97454380"/>
    <n v="403849.4"/>
    <n v="0"/>
    <n v="3674063.5"/>
    <n v="42746000"/>
    <n v="3009302.5"/>
    <n v="43853.8"/>
    <n v="54928264"/>
    <n v="12561217"/>
    <n v="0"/>
    <n v="213.9"/>
    <n v="847.7"/>
    <n v="24161.3"/>
    <n v="3320.7"/>
    <n v="0"/>
    <n v="1257.2"/>
    <n v="5351.7"/>
    <n v="7050.8"/>
    <x v="8"/>
    <n v="24513.3"/>
    <n v="0"/>
    <n v="4180.2"/>
    <n v="855.7"/>
  </r>
  <r>
    <s v="MidCase"/>
    <s v="MISO_South"/>
    <x v="2"/>
    <n v="257431760"/>
    <n v="2983998.2"/>
    <n v="225375440"/>
    <n v="4865317.5"/>
    <n v="1116615.8999999999"/>
    <n v="0"/>
    <n v="0"/>
    <n v="0"/>
    <n v="1838129.8"/>
    <n v="65811252"/>
    <n v="343888.6"/>
    <n v="0"/>
    <n v="3674063.5"/>
    <n v="42746000"/>
    <n v="1047246.7"/>
    <n v="58575.4"/>
    <n v="84573890"/>
    <n v="19300476"/>
    <n v="0"/>
    <n v="3442.3"/>
    <n v="1211.4000000000001"/>
    <n v="24161.3"/>
    <n v="3320.7"/>
    <n v="0"/>
    <n v="1257.2"/>
    <n v="5351.7"/>
    <n v="4156.2"/>
    <x v="8"/>
    <n v="38803.300000000003"/>
    <n v="0"/>
    <n v="6333.4"/>
    <n v="13769.2"/>
  </r>
  <r>
    <s v="MidCase"/>
    <s v="MISO_South"/>
    <x v="3"/>
    <n v="281819840"/>
    <n v="5954043.5"/>
    <n v="258686750"/>
    <n v="9919842"/>
    <n v="1116615.8999999999"/>
    <n v="0"/>
    <n v="0"/>
    <n v="0"/>
    <n v="2019957.8"/>
    <n v="58285364"/>
    <n v="245143.2"/>
    <n v="0"/>
    <n v="3674063.5"/>
    <n v="42746000"/>
    <n v="723428.5"/>
    <n v="59719.1"/>
    <n v="100175330"/>
    <n v="39721268"/>
    <n v="0"/>
    <n v="7104.2"/>
    <n v="1339.8"/>
    <n v="24161.3"/>
    <n v="3322.2"/>
    <n v="0"/>
    <n v="1257.2"/>
    <n v="5351.7"/>
    <n v="4156.2"/>
    <x v="8"/>
    <n v="46560"/>
    <n v="0"/>
    <n v="13100.9"/>
    <n v="28416.6"/>
  </r>
  <r>
    <s v="MidCase"/>
    <s v="MISO_South"/>
    <x v="4"/>
    <n v="301643940"/>
    <n v="7462254.5"/>
    <n v="280223300"/>
    <n v="20094362"/>
    <n v="1116615.8999999999"/>
    <n v="0"/>
    <n v="0"/>
    <n v="0"/>
    <n v="2354929.5"/>
    <n v="49726350"/>
    <n v="195508.9"/>
    <n v="0"/>
    <n v="3674063.5"/>
    <n v="42746000"/>
    <n v="436679.7"/>
    <n v="57794.8"/>
    <n v="115652480"/>
    <n v="44168510"/>
    <n v="0"/>
    <n v="14668.6"/>
    <n v="1569.8"/>
    <n v="24161.3"/>
    <n v="3323.4"/>
    <n v="0"/>
    <n v="1257.2"/>
    <n v="5351.7"/>
    <n v="3113.4"/>
    <x v="8"/>
    <n v="53469.5"/>
    <n v="0"/>
    <n v="14482.6"/>
    <n v="58674.400000000001"/>
  </r>
  <r>
    <s v="MidCase"/>
    <s v="MISO_South"/>
    <x v="5"/>
    <n v="317827680"/>
    <n v="9562977"/>
    <n v="294610400"/>
    <n v="22653154"/>
    <n v="1116615.8999999999"/>
    <n v="0"/>
    <n v="0"/>
    <n v="0"/>
    <n v="2880665.8"/>
    <n v="47850870"/>
    <n v="128123.5"/>
    <n v="0"/>
    <n v="3674063.5"/>
    <n v="42746000"/>
    <n v="128903.3"/>
    <n v="59763.6"/>
    <n v="124500670"/>
    <n v="48871564"/>
    <n v="0"/>
    <n v="16645.099999999999"/>
    <n v="1915.3"/>
    <n v="26980.799999999999"/>
    <n v="3257.4"/>
    <n v="0"/>
    <n v="1257.2"/>
    <n v="5351.7"/>
    <n v="1093.5"/>
    <x v="8"/>
    <n v="57948"/>
    <n v="0"/>
    <n v="15904.1"/>
    <n v="66580.5"/>
  </r>
  <r>
    <s v="MidCase"/>
    <s v="NYISO"/>
    <x v="0"/>
    <n v="158741890"/>
    <n v="0"/>
    <n v="158020300"/>
    <n v="1046223"/>
    <n v="1989598.8"/>
    <n v="10789661"/>
    <n v="0"/>
    <n v="0"/>
    <n v="3560240.8"/>
    <n v="49446290"/>
    <n v="800212.9"/>
    <n v="0"/>
    <n v="26503520"/>
    <n v="26688192"/>
    <n v="10514366"/>
    <n v="476045"/>
    <n v="7497981"/>
    <n v="18282764"/>
    <n v="425212.4"/>
    <n v="1750"/>
    <n v="2561.9"/>
    <n v="9588.7000000000007"/>
    <n v="2662.1"/>
    <n v="0"/>
    <n v="4553.7"/>
    <n v="3341.3"/>
    <n v="12192.8"/>
    <x v="9"/>
    <n v="4151.2"/>
    <n v="132"/>
    <n v="5486.9"/>
    <n v="7000"/>
  </r>
  <r>
    <s v="MidCase"/>
    <s v="NYISO"/>
    <x v="1"/>
    <n v="170300000"/>
    <n v="234254.1"/>
    <n v="177968740"/>
    <n v="2612276"/>
    <n v="1989598.8"/>
    <n v="13370289"/>
    <n v="0"/>
    <n v="0"/>
    <n v="4105078.5"/>
    <n v="30838090"/>
    <n v="220207.1"/>
    <n v="0"/>
    <n v="27691004"/>
    <n v="26688192"/>
    <n v="4948010.5"/>
    <n v="1107873.1000000001"/>
    <n v="21070394"/>
    <n v="29300196"/>
    <n v="14027528"/>
    <n v="3000"/>
    <n v="2959.8"/>
    <n v="9099.4"/>
    <n v="533.29999999999995"/>
    <n v="0"/>
    <n v="4745.1000000000004"/>
    <n v="3341.3"/>
    <n v="7437.5"/>
    <x v="9"/>
    <n v="11597.5"/>
    <n v="3801"/>
    <n v="7923.5"/>
    <n v="12000"/>
  </r>
  <r>
    <s v="MidCase"/>
    <s v="NYISO"/>
    <x v="2"/>
    <n v="186261310"/>
    <n v="2849502.5"/>
    <n v="195294400"/>
    <n v="4038136.5"/>
    <n v="1584482.1"/>
    <n v="13112242"/>
    <n v="0"/>
    <n v="0"/>
    <n v="4308429"/>
    <n v="29212166"/>
    <n v="59979.8"/>
    <n v="0"/>
    <n v="27528934"/>
    <n v="26688192"/>
    <n v="6585953"/>
    <n v="1094416.5"/>
    <n v="21199458"/>
    <n v="29382108"/>
    <n v="30499898"/>
    <n v="4593.1000000000004"/>
    <n v="3139.9"/>
    <n v="9099.4"/>
    <n v="533.29999999999995"/>
    <n v="0"/>
    <n v="4750.8"/>
    <n v="3341.3"/>
    <n v="6959.8"/>
    <x v="9"/>
    <n v="11597.5"/>
    <n v="9000"/>
    <n v="7923.5"/>
    <n v="18372.2"/>
  </r>
  <r>
    <s v="MidCase"/>
    <s v="NYISO"/>
    <x v="3"/>
    <n v="203176670"/>
    <n v="3200864"/>
    <n v="210769040"/>
    <n v="9837644"/>
    <n v="1584482.1"/>
    <n v="12235850"/>
    <n v="0"/>
    <n v="0"/>
    <n v="5142836.5"/>
    <n v="0"/>
    <n v="0"/>
    <n v="0"/>
    <n v="27245340"/>
    <n v="26688192"/>
    <n v="0"/>
    <n v="1035104.3"/>
    <n v="39445690"/>
    <n v="55335170"/>
    <n v="32218740"/>
    <n v="11645.9"/>
    <n v="3720.3"/>
    <n v="0"/>
    <n v="0"/>
    <n v="0"/>
    <n v="4763.2"/>
    <n v="3341.3"/>
    <n v="0"/>
    <x v="9"/>
    <n v="22316.6"/>
    <n v="9000"/>
    <n v="15772"/>
    <n v="46583.5"/>
  </r>
  <r>
    <s v="MidCase"/>
    <s v="NYISO"/>
    <x v="4"/>
    <n v="221359070"/>
    <n v="4452884.5"/>
    <n v="234267940"/>
    <n v="11220067"/>
    <n v="1584482.1"/>
    <n v="11424325"/>
    <n v="0"/>
    <n v="0"/>
    <n v="6489387"/>
    <n v="0"/>
    <n v="0"/>
    <n v="0"/>
    <n v="27124284"/>
    <n v="26688192"/>
    <n v="0"/>
    <n v="1134246"/>
    <n v="44278130"/>
    <n v="68687450"/>
    <n v="35637370"/>
    <n v="12964.4"/>
    <n v="4705"/>
    <n v="0"/>
    <n v="0"/>
    <n v="0"/>
    <n v="4769.5"/>
    <n v="3341.3"/>
    <n v="0"/>
    <x v="9"/>
    <n v="24980"/>
    <n v="9882.6"/>
    <n v="19962.7"/>
    <n v="51857.4"/>
  </r>
  <r>
    <s v="MidCase"/>
    <s v="NYISO"/>
    <x v="5"/>
    <n v="238796640"/>
    <n v="4933130"/>
    <n v="258313810"/>
    <n v="19848310"/>
    <n v="1584482.1"/>
    <n v="11242321"/>
    <n v="0"/>
    <n v="0"/>
    <n v="7773486.5"/>
    <n v="0"/>
    <n v="0"/>
    <n v="0"/>
    <n v="27068986"/>
    <n v="17086578"/>
    <n v="0"/>
    <n v="1207078"/>
    <n v="63597300"/>
    <n v="71811760"/>
    <n v="37093516"/>
    <n v="21828.799999999999"/>
    <n v="5637.9"/>
    <n v="0"/>
    <n v="0"/>
    <n v="0"/>
    <n v="4769.5"/>
    <n v="2139.1999999999998"/>
    <n v="0"/>
    <x v="9"/>
    <n v="35587.800000000003"/>
    <n v="10225.9"/>
    <n v="20689"/>
    <n v="87315.199999999997"/>
  </r>
  <r>
    <s v="MidCase"/>
    <s v="NorthernGrid_East"/>
    <x v="0"/>
    <n v="54637384"/>
    <n v="412.9"/>
    <n v="50512484"/>
    <n v="53127.5"/>
    <n v="319198.3"/>
    <n v="126032.4"/>
    <n v="11471448"/>
    <n v="0"/>
    <n v="1195637.5"/>
    <n v="1821135.6"/>
    <n v="0"/>
    <n v="74468.399999999994"/>
    <n v="21720162"/>
    <n v="0"/>
    <n v="0"/>
    <n v="0"/>
    <n v="1715400.6"/>
    <n v="12015876"/>
    <n v="0"/>
    <n v="231"/>
    <n v="797.7"/>
    <n v="549.29999999999995"/>
    <n v="789.1"/>
    <n v="10"/>
    <n v="5581.2"/>
    <n v="0"/>
    <n v="309.10000000000002"/>
    <x v="4"/>
    <n v="829"/>
    <n v="0"/>
    <n v="3416.2"/>
    <n v="924"/>
  </r>
  <r>
    <s v="MidCase"/>
    <s v="NorthernGrid_East"/>
    <x v="1"/>
    <n v="60358284"/>
    <n v="177024.8"/>
    <n v="63064510"/>
    <n v="128248.6"/>
    <n v="233755.5"/>
    <n v="123864"/>
    <n v="4024102.8"/>
    <n v="0"/>
    <n v="1338041.3999999999"/>
    <n v="1051858.1000000001"/>
    <n v="385.9"/>
    <n v="74255.899999999994"/>
    <n v="21439828"/>
    <n v="0"/>
    <n v="0"/>
    <n v="0"/>
    <n v="1728497.8"/>
    <n v="32921674"/>
    <n v="0"/>
    <n v="231"/>
    <n v="892.7"/>
    <n v="549.29999999999995"/>
    <n v="827.9"/>
    <n v="10"/>
    <n v="5748.2"/>
    <n v="0"/>
    <n v="52"/>
    <x v="4"/>
    <n v="829"/>
    <n v="0"/>
    <n v="8467.1"/>
    <n v="924"/>
  </r>
  <r>
    <s v="MidCase"/>
    <s v="NorthernGrid_East"/>
    <x v="2"/>
    <n v="70286420"/>
    <n v="1320593.8999999999"/>
    <n v="74942344"/>
    <n v="1277965.2"/>
    <n v="233755.5"/>
    <n v="119631.2"/>
    <n v="0"/>
    <n v="0"/>
    <n v="1261023"/>
    <n v="548241.6"/>
    <n v="14111.1"/>
    <n v="72275.199999999997"/>
    <n v="20955968"/>
    <n v="0"/>
    <n v="386.8"/>
    <n v="0"/>
    <n v="6932495"/>
    <n v="43526490"/>
    <n v="0"/>
    <n v="1299"/>
    <n v="844.5"/>
    <n v="549.29999999999995"/>
    <n v="829.7"/>
    <n v="10"/>
    <n v="5749.5"/>
    <n v="0"/>
    <n v="52"/>
    <x v="4"/>
    <n v="3244.2"/>
    <n v="0"/>
    <n v="11690.7"/>
    <n v="5195.8999999999996"/>
  </r>
  <r>
    <s v="MidCase"/>
    <s v="NorthernGrid_East"/>
    <x v="3"/>
    <n v="77372900"/>
    <n v="2408026.7999999998"/>
    <n v="83021600"/>
    <n v="1209230.2"/>
    <n v="233755.5"/>
    <n v="115797.4"/>
    <n v="0"/>
    <n v="0"/>
    <n v="1267209"/>
    <n v="365288.7"/>
    <n v="46060.2"/>
    <n v="68677.3"/>
    <n v="20706830"/>
    <n v="0"/>
    <n v="75.3"/>
    <n v="0"/>
    <n v="7679775"/>
    <n v="51328904"/>
    <n v="0"/>
    <n v="1068"/>
    <n v="851.3"/>
    <n v="549.29999999999995"/>
    <n v="2196.1"/>
    <n v="10"/>
    <n v="5749.5"/>
    <n v="0"/>
    <n v="52"/>
    <x v="4"/>
    <n v="3626.8"/>
    <n v="0"/>
    <n v="14100.9"/>
    <n v="4271.8999999999996"/>
  </r>
  <r>
    <s v="MidCase"/>
    <s v="NorthernGrid_East"/>
    <x v="4"/>
    <n v="84177660"/>
    <n v="3817709.5"/>
    <n v="91909670"/>
    <n v="1246972.5"/>
    <n v="233755.5"/>
    <n v="113638.6"/>
    <n v="0"/>
    <n v="0"/>
    <n v="1291173.2"/>
    <n v="313978.59999999998"/>
    <n v="32422.400000000001"/>
    <n v="67790.5"/>
    <n v="20650502"/>
    <n v="0"/>
    <n v="0"/>
    <n v="0"/>
    <n v="9152200"/>
    <n v="58807240"/>
    <n v="0"/>
    <n v="1068"/>
    <n v="869.5"/>
    <n v="549.29999999999995"/>
    <n v="2196.1"/>
    <n v="10"/>
    <n v="5749.5"/>
    <n v="0"/>
    <n v="0"/>
    <x v="4"/>
    <n v="4370.1000000000004"/>
    <n v="0"/>
    <n v="16485.2"/>
    <n v="4271.8999999999996"/>
  </r>
  <r>
    <s v="MidCase"/>
    <s v="NorthernGrid_East"/>
    <x v="5"/>
    <n v="90001070"/>
    <n v="5295420.5"/>
    <n v="99271016"/>
    <n v="690795.8"/>
    <n v="233755.5"/>
    <n v="115031.3"/>
    <n v="0"/>
    <n v="0"/>
    <n v="1330951"/>
    <n v="316726.2"/>
    <n v="27579.200000000001"/>
    <n v="67719.600000000006"/>
    <n v="19736604"/>
    <n v="0"/>
    <n v="0"/>
    <n v="0"/>
    <n v="12291444"/>
    <n v="64460410"/>
    <n v="0"/>
    <n v="571.9"/>
    <n v="898.7"/>
    <n v="549.29999999999995"/>
    <n v="2217.6"/>
    <n v="10"/>
    <n v="5749.5"/>
    <n v="0"/>
    <n v="0"/>
    <x v="4"/>
    <n v="6033"/>
    <n v="0"/>
    <n v="17910"/>
    <n v="2287.6"/>
  </r>
  <r>
    <s v="MidCase"/>
    <s v="NorthernGrid_South"/>
    <x v="0"/>
    <n v="84253224"/>
    <n v="9889.7999999999993"/>
    <n v="86747350"/>
    <n v="1485707"/>
    <n v="322711.59999999998"/>
    <n v="0"/>
    <n v="19601534"/>
    <n v="0"/>
    <n v="2529032.2000000002"/>
    <n v="23365574"/>
    <n v="11072.7"/>
    <n v="5358746.5"/>
    <n v="6733541"/>
    <n v="0"/>
    <n v="593.29999999999995"/>
    <n v="0"/>
    <n v="25324618"/>
    <n v="2014221"/>
    <n v="0"/>
    <n v="1132.4000000000001"/>
    <n v="1378.1"/>
    <n v="8385.4"/>
    <n v="1872.3"/>
    <n v="719.6"/>
    <n v="3518.7"/>
    <n v="0"/>
    <n v="717.1"/>
    <x v="4"/>
    <n v="9864.7999999999993"/>
    <n v="0"/>
    <n v="739.7"/>
    <n v="4529.3999999999996"/>
  </r>
  <r>
    <s v="MidCase"/>
    <s v="NorthernGrid_South"/>
    <x v="1"/>
    <n v="94292650"/>
    <n v="1075721.8999999999"/>
    <n v="93431790"/>
    <n v="1607943.9"/>
    <n v="322711.59999999998"/>
    <n v="0"/>
    <n v="14886686"/>
    <n v="0"/>
    <n v="2847248"/>
    <n v="23883818"/>
    <n v="47218.400000000001"/>
    <n v="5341049.5"/>
    <n v="6733541"/>
    <n v="0"/>
    <n v="5694.7"/>
    <n v="0"/>
    <n v="32619108"/>
    <n v="5136774.5"/>
    <n v="0"/>
    <n v="1148.4000000000001"/>
    <n v="1591.7"/>
    <n v="9167.2000000000007"/>
    <n v="1842.5"/>
    <n v="719.6"/>
    <n v="3518.7"/>
    <n v="0"/>
    <n v="491.1"/>
    <x v="4"/>
    <n v="12795.6"/>
    <n v="0"/>
    <n v="1617.1"/>
    <n v="4593.6000000000004"/>
  </r>
  <r>
    <s v="MidCase"/>
    <s v="NorthernGrid_South"/>
    <x v="2"/>
    <n v="109382250"/>
    <n v="6865665.5"/>
    <n v="114648856"/>
    <n v="10789193"/>
    <n v="101738.8"/>
    <n v="0"/>
    <n v="0"/>
    <n v="0"/>
    <n v="2725388.8"/>
    <n v="24993652"/>
    <n v="50908.9"/>
    <n v="4883125.5"/>
    <n v="6731846.5"/>
    <n v="0"/>
    <n v="4838.5"/>
    <n v="0"/>
    <n v="58623572"/>
    <n v="5744599.5"/>
    <n v="0"/>
    <n v="7758.3"/>
    <n v="1548"/>
    <n v="11090.2"/>
    <n v="1748"/>
    <n v="719.6"/>
    <n v="3518.7"/>
    <n v="0"/>
    <n v="253.6"/>
    <x v="4"/>
    <n v="24686.9"/>
    <n v="0"/>
    <n v="1840.9"/>
    <n v="31033"/>
  </r>
  <r>
    <s v="MidCase"/>
    <s v="NorthernGrid_South"/>
    <x v="3"/>
    <n v="124747050"/>
    <n v="10806294"/>
    <n v="137217330"/>
    <n v="10002384"/>
    <n v="101738.8"/>
    <n v="0"/>
    <n v="0"/>
    <n v="0"/>
    <n v="2736661.5"/>
    <n v="37085080"/>
    <n v="6734.5"/>
    <n v="4745157.5"/>
    <n v="6730678.5"/>
    <n v="0"/>
    <n v="1242.2"/>
    <n v="0"/>
    <n v="67414310"/>
    <n v="8393336"/>
    <n v="0"/>
    <n v="7113.2"/>
    <n v="1557.6"/>
    <n v="17708.5"/>
    <n v="1748"/>
    <n v="704"/>
    <n v="3518.7"/>
    <n v="0"/>
    <n v="239.6"/>
    <x v="4"/>
    <n v="29464.799999999999"/>
    <n v="0"/>
    <n v="2566"/>
    <n v="28452.799999999999"/>
  </r>
  <r>
    <s v="MidCase"/>
    <s v="NorthernGrid_South"/>
    <x v="4"/>
    <n v="138886180"/>
    <n v="18297844"/>
    <n v="157093520"/>
    <n v="11983184"/>
    <n v="101738.8"/>
    <n v="0"/>
    <n v="0"/>
    <n v="0"/>
    <n v="2778943.5"/>
    <n v="42844160"/>
    <n v="2422.1"/>
    <n v="3369657.5"/>
    <n v="6728130.5"/>
    <n v="0"/>
    <n v="526.5"/>
    <n v="0"/>
    <n v="80071096"/>
    <n v="9213662"/>
    <n v="0"/>
    <n v="8513.2999999999993"/>
    <n v="1593.1"/>
    <n v="21108.3"/>
    <n v="1730.9"/>
    <n v="504.6"/>
    <n v="3518.7"/>
    <n v="0"/>
    <n v="239.6"/>
    <x v="4"/>
    <n v="36822.400000000001"/>
    <n v="0"/>
    <n v="2859.1"/>
    <n v="34053.4"/>
  </r>
  <r>
    <s v="MidCase"/>
    <s v="NorthernGrid_South"/>
    <x v="5"/>
    <n v="152025470"/>
    <n v="25871634"/>
    <n v="174549940"/>
    <n v="12962632"/>
    <n v="101738.8"/>
    <n v="0"/>
    <n v="0"/>
    <n v="0"/>
    <n v="2930488.2"/>
    <n v="46493810"/>
    <n v="1409.6"/>
    <n v="2624880"/>
    <n v="6724879"/>
    <n v="0"/>
    <n v="81"/>
    <n v="0"/>
    <n v="93194650"/>
    <n v="9515372"/>
    <n v="0"/>
    <n v="9563.7000000000007"/>
    <n v="1702.3"/>
    <n v="24313.8"/>
    <n v="1167.7"/>
    <n v="422.7"/>
    <n v="3518.7"/>
    <n v="0"/>
    <n v="11.4"/>
    <x v="4"/>
    <n v="44470"/>
    <n v="0"/>
    <n v="3047.3"/>
    <n v="38255"/>
  </r>
  <r>
    <s v="MidCase"/>
    <s v="NorthernGrid_West"/>
    <x v="0"/>
    <n v="158100640"/>
    <n v="0"/>
    <n v="186808720"/>
    <n v="5154.3999999999996"/>
    <n v="1228183.5"/>
    <n v="8116832"/>
    <n v="0"/>
    <n v="0"/>
    <n v="824964.1"/>
    <n v="8841159"/>
    <n v="0"/>
    <n v="145213.4"/>
    <n v="130439384"/>
    <n v="9193461"/>
    <n v="0"/>
    <n v="139080.29999999999"/>
    <n v="3827532.5"/>
    <n v="24047764"/>
    <n v="0"/>
    <n v="20.100000000000001"/>
    <n v="658"/>
    <n v="6007.1"/>
    <n v="1371.8"/>
    <n v="19.5"/>
    <n v="30835.3"/>
    <n v="1151"/>
    <n v="2.5"/>
    <x v="10"/>
    <n v="1961.8"/>
    <n v="0"/>
    <n v="7528"/>
    <n v="80.2"/>
  </r>
  <r>
    <s v="MidCase"/>
    <s v="NorthernGrid_West"/>
    <x v="1"/>
    <n v="174448350"/>
    <n v="125000.9"/>
    <n v="197716510"/>
    <n v="11141.3"/>
    <n v="694166"/>
    <n v="6151182"/>
    <n v="0"/>
    <n v="0"/>
    <n v="1190036.8999999999"/>
    <n v="7012494.5"/>
    <n v="565.29999999999995"/>
    <n v="144351.4"/>
    <n v="125825580"/>
    <n v="9193461"/>
    <n v="0"/>
    <n v="150947"/>
    <n v="6267023.5"/>
    <n v="41075560"/>
    <n v="0"/>
    <n v="20.100000000000001"/>
    <n v="944.5"/>
    <n v="5675.3"/>
    <n v="1427.4"/>
    <n v="19.5"/>
    <n v="31722.2"/>
    <n v="1151"/>
    <n v="0"/>
    <x v="10"/>
    <n v="3105.2"/>
    <n v="0"/>
    <n v="11532.5"/>
    <n v="80.2"/>
  </r>
  <r>
    <s v="MidCase"/>
    <s v="NorthernGrid_West"/>
    <x v="2"/>
    <n v="194986430"/>
    <n v="1741858.4"/>
    <n v="225250900"/>
    <n v="18068.599999999999"/>
    <n v="581470"/>
    <n v="5474183.5"/>
    <n v="0"/>
    <n v="0"/>
    <n v="1524472.8"/>
    <n v="6635628.5"/>
    <n v="6265.4"/>
    <n v="138026.29999999999"/>
    <n v="126586380"/>
    <n v="9193461"/>
    <n v="0"/>
    <n v="224494.2"/>
    <n v="15963466"/>
    <n v="58904980"/>
    <n v="0"/>
    <n v="19.399999999999999"/>
    <n v="1209.2"/>
    <n v="5538.3"/>
    <n v="1388.2"/>
    <n v="19.5"/>
    <n v="31733.4"/>
    <n v="1151"/>
    <n v="0"/>
    <x v="10"/>
    <n v="8087.7"/>
    <n v="0"/>
    <n v="16923.5"/>
    <n v="77.7"/>
  </r>
  <r>
    <s v="MidCase"/>
    <s v="NorthernGrid_West"/>
    <x v="3"/>
    <n v="214420690"/>
    <n v="4286057"/>
    <n v="246104800"/>
    <n v="2923.9"/>
    <n v="581470"/>
    <n v="5943624"/>
    <n v="0"/>
    <n v="0"/>
    <n v="1527079.4"/>
    <n v="8105321"/>
    <n v="348.8"/>
    <n v="131612.6"/>
    <n v="126711630"/>
    <n v="9193461"/>
    <n v="0"/>
    <n v="276173.2"/>
    <n v="25821442"/>
    <n v="67809720"/>
    <n v="0"/>
    <n v="2.5"/>
    <n v="1216.2"/>
    <n v="6995.6"/>
    <n v="934.2"/>
    <n v="19.5"/>
    <n v="31733.4"/>
    <n v="1151"/>
    <n v="0"/>
    <x v="10"/>
    <n v="13412.9"/>
    <n v="0"/>
    <n v="19843.400000000001"/>
    <n v="10"/>
  </r>
  <r>
    <s v="MidCase"/>
    <s v="NorthernGrid_West"/>
    <x v="4"/>
    <n v="232522140"/>
    <n v="6142809.5"/>
    <n v="263182380"/>
    <n v="2957.5"/>
    <n v="581470"/>
    <n v="5100927"/>
    <n v="0"/>
    <n v="0"/>
    <n v="1574871"/>
    <n v="10745841"/>
    <n v="1694.9"/>
    <n v="0"/>
    <n v="129198360"/>
    <n v="9193461"/>
    <n v="0"/>
    <n v="383580.4"/>
    <n v="32406426"/>
    <n v="73992790"/>
    <n v="0"/>
    <n v="2.5"/>
    <n v="1256.7"/>
    <n v="8363.5"/>
    <n v="934.2"/>
    <n v="0"/>
    <n v="31741.5"/>
    <n v="1151"/>
    <n v="0"/>
    <x v="10"/>
    <n v="17155"/>
    <n v="0"/>
    <n v="21692.6"/>
    <n v="10"/>
  </r>
  <r>
    <s v="MidCase"/>
    <s v="NorthernGrid_West"/>
    <x v="5"/>
    <n v="249583570"/>
    <n v="7223398.5"/>
    <n v="280572800"/>
    <n v="377307.6"/>
    <n v="581470"/>
    <n v="5913372.5"/>
    <n v="0"/>
    <n v="0"/>
    <n v="1692822.2"/>
    <n v="12463126"/>
    <n v="147789.79999999999"/>
    <n v="0"/>
    <n v="127119550"/>
    <n v="9193461"/>
    <n v="0"/>
    <n v="432278.2"/>
    <n v="38142580"/>
    <n v="84509040"/>
    <n v="0"/>
    <n v="336.9"/>
    <n v="1351.6"/>
    <n v="8103.5"/>
    <n v="3940.2"/>
    <n v="0"/>
    <n v="31741.5"/>
    <n v="1151"/>
    <n v="0"/>
    <x v="10"/>
    <n v="20105"/>
    <n v="0"/>
    <n v="24554.5"/>
    <n v="1347.6"/>
  </r>
  <r>
    <s v="MidCase"/>
    <s v="PJM_East"/>
    <x v="0"/>
    <n v="729503100"/>
    <n v="699.3"/>
    <n v="746062140"/>
    <n v="4102933.5"/>
    <n v="5811802.5"/>
    <n v="0"/>
    <n v="172159940"/>
    <n v="0"/>
    <n v="6405400"/>
    <n v="297722460"/>
    <n v="2528750.2000000002"/>
    <n v="0"/>
    <n v="9139849"/>
    <n v="159425470"/>
    <n v="940743.2"/>
    <n v="4377366"/>
    <n v="46264416"/>
    <n v="37141896"/>
    <n v="41134"/>
    <n v="3022.9"/>
    <n v="4459.6000000000004"/>
    <n v="55245.4"/>
    <n v="21618"/>
    <n v="0"/>
    <n v="3160.5"/>
    <n v="19959.7"/>
    <n v="9042.1"/>
    <x v="11"/>
    <n v="22939.4"/>
    <n v="12"/>
    <n v="11762.3"/>
    <n v="13811.5"/>
  </r>
  <r>
    <s v="MidCase"/>
    <s v="PJM_East"/>
    <x v="1"/>
    <n v="777558700"/>
    <n v="55219.1"/>
    <n v="786649100"/>
    <n v="8849255"/>
    <n v="4394278"/>
    <n v="0"/>
    <n v="71365390"/>
    <n v="0"/>
    <n v="9387490"/>
    <n v="367643260"/>
    <n v="4504133"/>
    <n v="0"/>
    <n v="9455776"/>
    <n v="159425470"/>
    <n v="1912488"/>
    <n v="4368643.5"/>
    <n v="53260508"/>
    <n v="63044908"/>
    <n v="29037516"/>
    <n v="6768.4"/>
    <n v="6510.4"/>
    <n v="60126.3"/>
    <n v="21115.200000000001"/>
    <n v="0"/>
    <n v="3279.5"/>
    <n v="19959.7"/>
    <n v="7325.1"/>
    <x v="11"/>
    <n v="26163.1"/>
    <n v="7861.2"/>
    <n v="17878.900000000001"/>
    <n v="28793.599999999999"/>
  </r>
  <r>
    <s v="MidCase"/>
    <s v="PJM_East"/>
    <x v="2"/>
    <n v="847549400"/>
    <n v="107885.2"/>
    <n v="817336770"/>
    <n v="17851794"/>
    <n v="4394278"/>
    <n v="0"/>
    <n v="0"/>
    <n v="0"/>
    <n v="11187474"/>
    <n v="326772830"/>
    <n v="8211329"/>
    <n v="0"/>
    <n v="9455772"/>
    <n v="159425470"/>
    <n v="2648431"/>
    <n v="3772211.5"/>
    <n v="84069200"/>
    <n v="112831190"/>
    <n v="76716750"/>
    <n v="16786"/>
    <n v="7762.5"/>
    <n v="69408.800000000003"/>
    <n v="21842.7"/>
    <n v="0"/>
    <n v="3279.5"/>
    <n v="19959.7"/>
    <n v="5883.3"/>
    <x v="11"/>
    <n v="40386"/>
    <n v="20621.2"/>
    <n v="33170.1"/>
    <n v="68864.2"/>
  </r>
  <r>
    <s v="MidCase"/>
    <s v="PJM_East"/>
    <x v="3"/>
    <n v="922468740"/>
    <n v="292858.2"/>
    <n v="882196160"/>
    <n v="20197498"/>
    <n v="4341244.5"/>
    <n v="0"/>
    <n v="0"/>
    <n v="0"/>
    <n v="12592203"/>
    <n v="342356640"/>
    <n v="5917300"/>
    <n v="0"/>
    <n v="9455728"/>
    <n v="159425470"/>
    <n v="1638476.6"/>
    <n v="3790760"/>
    <n v="93603730"/>
    <n v="134797620"/>
    <n v="94079530"/>
    <n v="20627.2"/>
    <n v="8747.7000000000007"/>
    <n v="80955.199999999997"/>
    <n v="22082.7"/>
    <n v="0"/>
    <n v="3279.5"/>
    <n v="19959.7"/>
    <n v="5285.7"/>
    <x v="11"/>
    <n v="44737"/>
    <n v="25146.2"/>
    <n v="39381.1"/>
    <n v="82508.7"/>
  </r>
  <r>
    <s v="MidCase"/>
    <s v="PJM_East"/>
    <x v="4"/>
    <n v="1000426100"/>
    <n v="430797.4"/>
    <n v="947604800"/>
    <n v="28832404"/>
    <n v="4341244.5"/>
    <n v="0"/>
    <n v="0"/>
    <n v="0"/>
    <n v="15222478"/>
    <n v="363263360"/>
    <n v="5340805.5"/>
    <n v="0"/>
    <n v="9455776"/>
    <n v="159425470"/>
    <n v="1364898.2"/>
    <n v="3613934.5"/>
    <n v="119220200"/>
    <n v="142875500"/>
    <n v="94648700"/>
    <n v="30741.7"/>
    <n v="10590.7"/>
    <n v="87070.8"/>
    <n v="22211"/>
    <n v="0"/>
    <n v="3279.5"/>
    <n v="19959.7"/>
    <n v="4705.8999999999996"/>
    <x v="11"/>
    <n v="56769.2"/>
    <n v="25146.2"/>
    <n v="41579.300000000003"/>
    <n v="122966.7"/>
  </r>
  <r>
    <s v="MidCase"/>
    <s v="PJM_East"/>
    <x v="5"/>
    <n v="1069900400"/>
    <n v="941632.4"/>
    <n v="1001337500"/>
    <n v="29053292"/>
    <n v="4341244.5"/>
    <n v="0"/>
    <n v="0"/>
    <n v="0"/>
    <n v="18618644"/>
    <n v="371955620"/>
    <n v="8414265"/>
    <n v="0"/>
    <n v="9455776"/>
    <n v="175753300"/>
    <n v="542974.19999999995"/>
    <n v="3993194.5"/>
    <n v="129485970"/>
    <n v="154830190"/>
    <n v="94892984"/>
    <n v="28368.2"/>
    <n v="12978.7"/>
    <n v="90585.3"/>
    <n v="33923.1"/>
    <n v="0"/>
    <n v="3279.5"/>
    <n v="22003.9"/>
    <n v="2200.3000000000002"/>
    <x v="11"/>
    <n v="61478.400000000001"/>
    <n v="25146.2"/>
    <n v="45152.9"/>
    <n v="113472.9"/>
  </r>
  <r>
    <s v="MidCase"/>
    <s v="PJM_West"/>
    <x v="0"/>
    <n v="108721384"/>
    <n v="0"/>
    <n v="130027790"/>
    <n v="1908960.2"/>
    <n v="388265.3"/>
    <n v="0"/>
    <n v="0"/>
    <n v="0"/>
    <n v="176160.6"/>
    <n v="21285432"/>
    <n v="3334834"/>
    <n v="0"/>
    <n v="178472.8"/>
    <n v="93222180"/>
    <n v="60059"/>
    <n v="0"/>
    <n v="3173194.2"/>
    <n v="6300242"/>
    <n v="0"/>
    <n v="2205"/>
    <n v="119.7"/>
    <n v="6502.8"/>
    <n v="8146.7"/>
    <n v="0"/>
    <n v="59.1"/>
    <n v="11671.2"/>
    <n v="401.5"/>
    <x v="4"/>
    <n v="1503.6"/>
    <n v="0"/>
    <n v="1959"/>
    <n v="8820"/>
  </r>
  <r>
    <s v="MidCase"/>
    <s v="PJM_West"/>
    <x v="1"/>
    <n v="117765656"/>
    <n v="44.3"/>
    <n v="142647760"/>
    <n v="2018027"/>
    <n v="388265.3"/>
    <n v="0"/>
    <n v="0"/>
    <n v="0"/>
    <n v="276630.3"/>
    <n v="19459562"/>
    <n v="3401957.5"/>
    <n v="0"/>
    <n v="178472.8"/>
    <n v="93222180"/>
    <n v="56343.4"/>
    <n v="0"/>
    <n v="6423523"/>
    <n v="17222808"/>
    <n v="0"/>
    <n v="2205"/>
    <n v="187.8"/>
    <n v="6502.8"/>
    <n v="8150.2"/>
    <n v="0"/>
    <n v="59.1"/>
    <n v="11671.2"/>
    <n v="52.7"/>
    <x v="4"/>
    <n v="3012.5"/>
    <n v="0"/>
    <n v="4765.5"/>
    <n v="8820"/>
  </r>
  <r>
    <s v="MidCase"/>
    <s v="PJM_West"/>
    <x v="2"/>
    <n v="133569050"/>
    <n v="560218.1"/>
    <n v="144352320"/>
    <n v="4412012"/>
    <n v="388265.3"/>
    <n v="0"/>
    <n v="0"/>
    <n v="0"/>
    <n v="606603.5"/>
    <n v="17338318"/>
    <n v="2337967"/>
    <n v="0"/>
    <n v="178472.8"/>
    <n v="93222180"/>
    <n v="41506.5"/>
    <n v="0"/>
    <n v="6398316.5"/>
    <n v="19428694"/>
    <n v="0"/>
    <n v="4153.6000000000004"/>
    <n v="413.2"/>
    <n v="6502.8"/>
    <n v="8152.1"/>
    <n v="0"/>
    <n v="59.1"/>
    <n v="11671.2"/>
    <n v="52.7"/>
    <x v="4"/>
    <n v="3012.5"/>
    <n v="0"/>
    <n v="5491.5"/>
    <n v="16614.3"/>
  </r>
  <r>
    <s v="MidCase"/>
    <s v="PJM_West"/>
    <x v="3"/>
    <n v="145841920"/>
    <n v="368693.4"/>
    <n v="148182900"/>
    <n v="6323304"/>
    <n v="388265.3"/>
    <n v="0"/>
    <n v="0"/>
    <n v="0"/>
    <n v="1138139"/>
    <n v="17729304"/>
    <n v="2116071.2000000002"/>
    <n v="0"/>
    <n v="178472.8"/>
    <n v="93222180"/>
    <n v="41667.9"/>
    <n v="0"/>
    <n v="6503530.5"/>
    <n v="20541966"/>
    <n v="0"/>
    <n v="6618.8"/>
    <n v="773.7"/>
    <n v="6502.8"/>
    <n v="8146.1"/>
    <n v="0"/>
    <n v="59.1"/>
    <n v="11671.2"/>
    <n v="52.7"/>
    <x v="4"/>
    <n v="3012.5"/>
    <n v="0"/>
    <n v="5707.5"/>
    <n v="26475.200000000001"/>
  </r>
  <r>
    <s v="MidCase"/>
    <s v="PJM_West"/>
    <x v="4"/>
    <n v="157731800"/>
    <n v="251738.5"/>
    <n v="148671580"/>
    <n v="11316075"/>
    <n v="388265.3"/>
    <n v="0"/>
    <n v="0"/>
    <n v="0"/>
    <n v="2018193.8"/>
    <n v="5935224.5"/>
    <n v="344278"/>
    <n v="0"/>
    <n v="178472.8"/>
    <n v="93222180"/>
    <n v="0"/>
    <n v="0"/>
    <n v="10814762"/>
    <n v="24454144"/>
    <n v="0"/>
    <n v="12723"/>
    <n v="1368.3"/>
    <n v="2168.8000000000002"/>
    <n v="957.8"/>
    <n v="0"/>
    <n v="59.1"/>
    <n v="11671.2"/>
    <n v="0"/>
    <x v="4"/>
    <n v="4952.8999999999996"/>
    <n v="0"/>
    <n v="6665"/>
    <n v="50891.9"/>
  </r>
  <r>
    <s v="MidCase"/>
    <s v="PJM_West"/>
    <x v="5"/>
    <n v="167146640"/>
    <n v="47124.5"/>
    <n v="150714030"/>
    <n v="13819293"/>
    <n v="388265.3"/>
    <n v="0"/>
    <n v="0"/>
    <n v="0"/>
    <n v="3042716.8"/>
    <n v="6010594"/>
    <n v="382372"/>
    <n v="0"/>
    <n v="178472.8"/>
    <n v="86017560"/>
    <n v="0"/>
    <n v="0"/>
    <n v="15361958"/>
    <n v="25512798"/>
    <n v="0"/>
    <n v="14668.8"/>
    <n v="2062.5"/>
    <n v="2168.8000000000002"/>
    <n v="957.8"/>
    <n v="0"/>
    <n v="59.1"/>
    <n v="10769.2"/>
    <n v="0"/>
    <x v="4"/>
    <n v="6988.4"/>
    <n v="0"/>
    <n v="6850"/>
    <n v="58675.1"/>
  </r>
  <r>
    <s v="MidCase"/>
    <s v="SERTP"/>
    <x v="0"/>
    <n v="652517760"/>
    <n v="109.4"/>
    <n v="661908160"/>
    <n v="1676797.6"/>
    <n v="4098943.2"/>
    <n v="0"/>
    <n v="182253300"/>
    <n v="0"/>
    <n v="2501176.7999999998"/>
    <n v="156006480"/>
    <n v="2111438.5"/>
    <n v="0"/>
    <n v="33546214"/>
    <n v="233058610"/>
    <n v="970508.5"/>
    <n v="5090475.5"/>
    <n v="39144964"/>
    <n v="1449286.1"/>
    <n v="0"/>
    <n v="1540.2"/>
    <n v="1637.9"/>
    <n v="40915.4"/>
    <n v="26815.4"/>
    <n v="0"/>
    <n v="12077.7"/>
    <n v="29178.400000000001"/>
    <n v="5077.2"/>
    <x v="12"/>
    <n v="18332.400000000001"/>
    <n v="0"/>
    <n v="516.1"/>
    <n v="6160.8"/>
  </r>
  <r>
    <s v="MidCase"/>
    <s v="SERTP"/>
    <x v="1"/>
    <n v="699584600"/>
    <n v="222.6"/>
    <n v="707900900"/>
    <n v="6630690"/>
    <n v="4254640.5"/>
    <n v="0"/>
    <n v="102930210"/>
    <n v="0"/>
    <n v="5159188.5"/>
    <n v="245799730"/>
    <n v="2582082.2000000002"/>
    <n v="0"/>
    <n v="35572470"/>
    <n v="233058610"/>
    <n v="749423.7"/>
    <n v="4864649.5"/>
    <n v="55252532"/>
    <n v="11046717"/>
    <n v="0"/>
    <n v="5725.3"/>
    <n v="3387.1"/>
    <n v="49596.9"/>
    <n v="26956.9"/>
    <n v="0"/>
    <n v="12676.8"/>
    <n v="29178.400000000001"/>
    <n v="4189.2"/>
    <x v="12"/>
    <n v="25468.9"/>
    <n v="0"/>
    <n v="3468.7"/>
    <n v="22901.3"/>
  </r>
  <r>
    <s v="MidCase"/>
    <s v="SERTP"/>
    <x v="2"/>
    <n v="784413250"/>
    <n v="5568798"/>
    <n v="826256600"/>
    <n v="28918474"/>
    <n v="3908450"/>
    <n v="0"/>
    <n v="0"/>
    <n v="0"/>
    <n v="7213030.5"/>
    <n v="154207070"/>
    <n v="3036980"/>
    <n v="0"/>
    <n v="35529670"/>
    <n v="233058610"/>
    <n v="777846.4"/>
    <n v="9131889"/>
    <n v="202562350"/>
    <n v="147912210"/>
    <n v="0"/>
    <n v="22557.200000000001"/>
    <n v="4779.3"/>
    <n v="49476.9"/>
    <n v="26337.3"/>
    <n v="0"/>
    <n v="12676.8"/>
    <n v="29178.400000000001"/>
    <n v="3258.9"/>
    <x v="12"/>
    <n v="94577.1"/>
    <n v="0"/>
    <n v="48248.1"/>
    <n v="90228.9"/>
  </r>
  <r>
    <s v="MidCase"/>
    <s v="SERTP"/>
    <x v="3"/>
    <n v="867388740"/>
    <n v="14248203"/>
    <n v="929194700"/>
    <n v="42940610"/>
    <n v="3908450"/>
    <n v="0"/>
    <n v="0"/>
    <n v="0"/>
    <n v="8402041"/>
    <n v="141833300"/>
    <n v="2013546.2"/>
    <n v="0"/>
    <n v="35428776"/>
    <n v="233058610"/>
    <n v="282336.40000000002"/>
    <n v="10093304"/>
    <n v="255590050"/>
    <n v="195643650"/>
    <n v="0"/>
    <n v="33785.599999999999"/>
    <n v="5597.6"/>
    <n v="51950.2"/>
    <n v="26337.3"/>
    <n v="0"/>
    <n v="12676.8"/>
    <n v="29178.400000000001"/>
    <n v="2476.6999999999998"/>
    <x v="12"/>
    <n v="120373.2"/>
    <n v="0"/>
    <n v="64353.1"/>
    <n v="135142.39999999999"/>
  </r>
  <r>
    <s v="MidCase"/>
    <s v="SERTP"/>
    <x v="4"/>
    <n v="949827800"/>
    <n v="30871140"/>
    <n v="1028375400"/>
    <n v="51252204"/>
    <n v="3319189.2"/>
    <n v="0"/>
    <n v="0"/>
    <n v="0"/>
    <n v="10258293"/>
    <n v="142469550"/>
    <n v="2204074.7999999998"/>
    <n v="0"/>
    <n v="35319344"/>
    <n v="233058610"/>
    <n v="165440.4"/>
    <n v="11131553"/>
    <n v="313654660"/>
    <n v="225542480"/>
    <n v="0"/>
    <n v="39602.5"/>
    <n v="6878.6"/>
    <n v="57619.4"/>
    <n v="34683.800000000003"/>
    <n v="0"/>
    <n v="12676.8"/>
    <n v="29178.400000000001"/>
    <n v="1865.8"/>
    <x v="12"/>
    <n v="150172.4"/>
    <n v="0"/>
    <n v="75150"/>
    <n v="158410.1"/>
  </r>
  <r>
    <s v="MidCase"/>
    <s v="SERTP"/>
    <x v="5"/>
    <n v="1024535700"/>
    <n v="42046004"/>
    <n v="1132377700"/>
    <n v="77470460"/>
    <n v="3305931"/>
    <n v="0"/>
    <n v="0"/>
    <n v="0"/>
    <n v="13360103"/>
    <n v="138902320"/>
    <n v="1228251.8999999999"/>
    <n v="0"/>
    <n v="35246868"/>
    <n v="233058610"/>
    <n v="48716.4"/>
    <n v="10389722"/>
    <n v="379541440"/>
    <n v="239825310"/>
    <n v="0"/>
    <n v="60997.5"/>
    <n v="8921.6"/>
    <n v="62406.9"/>
    <n v="35713.699999999997"/>
    <n v="0"/>
    <n v="12676.8"/>
    <n v="29178.400000000001"/>
    <n v="560.29999999999995"/>
    <x v="12"/>
    <n v="182806.8"/>
    <n v="0"/>
    <n v="80037.2"/>
    <n v="243990.1"/>
  </r>
  <r>
    <s v="MidCase"/>
    <s v="SPP_North"/>
    <x v="0"/>
    <n v="57102880"/>
    <n v="84564.9"/>
    <n v="72008790"/>
    <n v="2141.5"/>
    <n v="50348.1"/>
    <n v="120851.4"/>
    <n v="15566342"/>
    <n v="0"/>
    <n v="56547.3"/>
    <n v="878329.2"/>
    <n v="378323.7"/>
    <n v="0"/>
    <n v="8633055"/>
    <n v="6150273.5"/>
    <n v="9179.5"/>
    <n v="0"/>
    <n v="580631"/>
    <n v="39582772"/>
    <n v="0"/>
    <n v="1.7"/>
    <n v="34.1"/>
    <n v="678.8"/>
    <n v="3864.6"/>
    <n v="0"/>
    <n v="2431.1"/>
    <n v="770"/>
    <n v="441.2"/>
    <x v="4"/>
    <n v="275.3"/>
    <n v="0"/>
    <n v="10960.1"/>
    <n v="6.8"/>
  </r>
  <r>
    <s v="MidCase"/>
    <s v="SPP_North"/>
    <x v="1"/>
    <n v="64134456"/>
    <n v="5028356"/>
    <n v="73026410"/>
    <n v="2373.6999999999998"/>
    <n v="50348.1"/>
    <n v="109103.3"/>
    <n v="5867818.5"/>
    <n v="0"/>
    <n v="75606.399999999994"/>
    <n v="1038880.7"/>
    <n v="486234.6"/>
    <n v="0"/>
    <n v="8368721"/>
    <n v="6150273.5"/>
    <n v="7201.1"/>
    <n v="0"/>
    <n v="2354596.7999999998"/>
    <n v="48515250"/>
    <n v="0"/>
    <n v="1.7"/>
    <n v="48.1"/>
    <n v="678.8"/>
    <n v="3452.9"/>
    <n v="0"/>
    <n v="2583.1"/>
    <n v="770"/>
    <n v="53.1"/>
    <x v="4"/>
    <n v="1053.9000000000001"/>
    <n v="0"/>
    <n v="12970.5"/>
    <n v="6.8"/>
  </r>
  <r>
    <s v="MidCase"/>
    <s v="SPP_North"/>
    <x v="2"/>
    <n v="74613520"/>
    <n v="14052717"/>
    <n v="90396640"/>
    <n v="161005.6"/>
    <n v="50348.1"/>
    <n v="102747.5"/>
    <n v="0"/>
    <n v="0"/>
    <n v="105705"/>
    <n v="851190.2"/>
    <n v="981601.8"/>
    <n v="0"/>
    <n v="7826402.5"/>
    <n v="6150273.5"/>
    <n v="10626.7"/>
    <n v="0"/>
    <n v="7869105"/>
    <n v="66287628"/>
    <n v="0"/>
    <n v="132.9"/>
    <n v="71.400000000000006"/>
    <n v="685.5"/>
    <n v="3620.6"/>
    <n v="0"/>
    <n v="2609.1"/>
    <n v="770"/>
    <n v="51.1"/>
    <x v="4"/>
    <n v="3583.1"/>
    <n v="0"/>
    <n v="19504.2"/>
    <n v="531.6"/>
  </r>
  <r>
    <s v="MidCase"/>
    <s v="SPP_North"/>
    <x v="3"/>
    <n v="82424530"/>
    <n v="17185366"/>
    <n v="99984760"/>
    <n v="975606.1"/>
    <n v="50348.1"/>
    <n v="101028.5"/>
    <n v="0"/>
    <n v="0"/>
    <n v="156090"/>
    <n v="755914.3"/>
    <n v="746652.3"/>
    <n v="0"/>
    <n v="7663411"/>
    <n v="6150273.5"/>
    <n v="7872.7"/>
    <n v="0"/>
    <n v="12527714"/>
    <n v="70849850"/>
    <n v="0"/>
    <n v="835.5"/>
    <n v="103.3"/>
    <n v="690.5"/>
    <n v="3654.4"/>
    <n v="0"/>
    <n v="2609.1"/>
    <n v="770"/>
    <n v="51.1"/>
    <x v="4"/>
    <n v="6175.1"/>
    <n v="0"/>
    <n v="20565.900000000001"/>
    <n v="3342.1"/>
  </r>
  <r>
    <s v="MidCase"/>
    <s v="SPP_North"/>
    <x v="4"/>
    <n v="89300220"/>
    <n v="20658182"/>
    <n v="109046424"/>
    <n v="991506.4"/>
    <n v="50348.1"/>
    <n v="100235.4"/>
    <n v="0"/>
    <n v="0"/>
    <n v="249074.7"/>
    <n v="737798"/>
    <n v="700943.2"/>
    <n v="0"/>
    <n v="7646048"/>
    <n v="6150273.5"/>
    <n v="6664.1"/>
    <n v="0"/>
    <n v="12477924"/>
    <n v="79935620"/>
    <n v="0"/>
    <n v="835.5"/>
    <n v="161.6"/>
    <n v="690.5"/>
    <n v="3723"/>
    <n v="0"/>
    <n v="2609.1"/>
    <n v="770"/>
    <n v="51.1"/>
    <x v="4"/>
    <n v="6175.1"/>
    <n v="0"/>
    <n v="23320.6"/>
    <n v="3342.1"/>
  </r>
  <r>
    <s v="MidCase"/>
    <s v="SPP_North"/>
    <x v="5"/>
    <n v="94898470"/>
    <n v="23897332"/>
    <n v="116303550"/>
    <n v="863877"/>
    <n v="50348.1"/>
    <n v="97600.7"/>
    <n v="0"/>
    <n v="0"/>
    <n v="382377.6"/>
    <n v="730892.4"/>
    <n v="715604.1"/>
    <n v="0"/>
    <n v="7589301.5"/>
    <n v="6150273.5"/>
    <n v="5326.4"/>
    <n v="0"/>
    <n v="13070204"/>
    <n v="86647750"/>
    <n v="0"/>
    <n v="719.1"/>
    <n v="247.5"/>
    <n v="690.5"/>
    <n v="3764.3"/>
    <n v="0"/>
    <n v="2609.1"/>
    <n v="770"/>
    <n v="24.1"/>
    <x v="4"/>
    <n v="6439.1"/>
    <n v="0"/>
    <n v="25613.4"/>
    <n v="2876.5"/>
  </r>
  <r>
    <s v="MidCase"/>
    <s v="SPP_South"/>
    <x v="0"/>
    <n v="221456690"/>
    <n v="7332245"/>
    <n v="231459150"/>
    <n v="396978.6"/>
    <n v="117173.8"/>
    <n v="0"/>
    <n v="43692056"/>
    <n v="0"/>
    <n v="433990"/>
    <n v="30166970"/>
    <n v="1212400.2"/>
    <n v="0"/>
    <n v="3390220.5"/>
    <n v="9784525"/>
    <n v="3067975"/>
    <n v="738375.4"/>
    <n v="9767289"/>
    <n v="128691200"/>
    <n v="0"/>
    <n v="311.10000000000002"/>
    <n v="258.60000000000002"/>
    <n v="11232.1"/>
    <n v="8892.1"/>
    <n v="0"/>
    <n v="1513.3"/>
    <n v="1225"/>
    <n v="9668.7000000000007"/>
    <x v="13"/>
    <n v="3886.7"/>
    <n v="0"/>
    <n v="36705.1"/>
    <n v="1244.4000000000001"/>
  </r>
  <r>
    <s v="MidCase"/>
    <s v="SPP_South"/>
    <x v="1"/>
    <n v="240584220"/>
    <n v="23744356"/>
    <n v="253636700"/>
    <n v="399497.6"/>
    <n v="117173.8"/>
    <n v="0"/>
    <n v="12922326"/>
    <n v="0"/>
    <n v="752244.5"/>
    <n v="22839138"/>
    <n v="937467.6"/>
    <n v="0"/>
    <n v="3301875.5"/>
    <n v="9784525"/>
    <n v="2509666.2000000002"/>
    <n v="700002.4"/>
    <n v="51597416"/>
    <n v="147775380"/>
    <n v="0"/>
    <n v="311.10000000000002"/>
    <n v="454.6"/>
    <n v="10710.3"/>
    <n v="7610.5"/>
    <n v="0"/>
    <n v="1513.3"/>
    <n v="1225"/>
    <n v="7264.3"/>
    <x v="13"/>
    <n v="22023.3"/>
    <n v="0"/>
    <n v="39813.800000000003"/>
    <n v="1244.4000000000001"/>
  </r>
  <r>
    <s v="MidCase"/>
    <s v="SPP_South"/>
    <x v="2"/>
    <n v="273278340"/>
    <n v="48063830"/>
    <n v="310419500"/>
    <n v="717995.7"/>
    <n v="117173.8"/>
    <n v="0"/>
    <n v="0"/>
    <n v="0"/>
    <n v="1169610.6000000001"/>
    <n v="13769362"/>
    <n v="1111059"/>
    <n v="0"/>
    <n v="3286734.5"/>
    <n v="9784525"/>
    <n v="1150216"/>
    <n v="770402.4"/>
    <n v="72623540"/>
    <n v="205918860"/>
    <n v="0"/>
    <n v="511.2"/>
    <n v="708.4"/>
    <n v="10428.299999999999"/>
    <n v="7565.2"/>
    <n v="0"/>
    <n v="1540.3"/>
    <n v="1225"/>
    <n v="6332.8"/>
    <x v="13"/>
    <n v="33205.599999999999"/>
    <n v="0"/>
    <n v="57333.4"/>
    <n v="2044.8"/>
  </r>
  <r>
    <s v="MidCase"/>
    <s v="SPP_South"/>
    <x v="3"/>
    <n v="304102050"/>
    <n v="75276740"/>
    <n v="353551360"/>
    <n v="2995092.2"/>
    <n v="117173.8"/>
    <n v="0"/>
    <n v="0"/>
    <n v="0"/>
    <n v="1523149.9"/>
    <n v="11752811"/>
    <n v="740846.6"/>
    <n v="0"/>
    <n v="3252085.5"/>
    <n v="9784525"/>
    <n v="643992.80000000005"/>
    <n v="765839.6"/>
    <n v="87519540"/>
    <n v="234456320"/>
    <n v="0"/>
    <n v="2291.6"/>
    <n v="926.7"/>
    <n v="10434.200000000001"/>
    <n v="7166.6"/>
    <n v="0"/>
    <n v="1540.3"/>
    <n v="1225"/>
    <n v="5937.4"/>
    <x v="13"/>
    <n v="41496.300000000003"/>
    <n v="0"/>
    <n v="67562.7"/>
    <n v="9166.2999999999993"/>
  </r>
  <r>
    <s v="MidCase"/>
    <s v="SPP_South"/>
    <x v="4"/>
    <n v="330939680"/>
    <n v="87598856"/>
    <n v="391569280"/>
    <n v="4888571.5"/>
    <n v="117173.8"/>
    <n v="0"/>
    <n v="0"/>
    <n v="0"/>
    <n v="2203580.7999999998"/>
    <n v="10006415"/>
    <n v="619344"/>
    <n v="0"/>
    <n v="3180938.2"/>
    <n v="9784525"/>
    <n v="442377"/>
    <n v="746875"/>
    <n v="102448320"/>
    <n v="257131170"/>
    <n v="0"/>
    <n v="3833.2"/>
    <n v="1337.1"/>
    <n v="10321"/>
    <n v="7115.2"/>
    <n v="0"/>
    <n v="1540.3"/>
    <n v="1225"/>
    <n v="4327.2"/>
    <x v="13"/>
    <n v="48724.9"/>
    <n v="0"/>
    <n v="74255.3"/>
    <n v="15332.7"/>
  </r>
  <r>
    <s v="MidCase"/>
    <s v="SPP_South"/>
    <x v="5"/>
    <n v="352964900"/>
    <n v="111319860"/>
    <n v="422075360"/>
    <n v="6119941.5"/>
    <n v="117173.8"/>
    <n v="0"/>
    <n v="0"/>
    <n v="0"/>
    <n v="3118454.5"/>
    <n v="8806899"/>
    <n v="561990.19999999995"/>
    <n v="0"/>
    <n v="3147998.8"/>
    <n v="9784525"/>
    <n v="169040.5"/>
    <n v="746672.6"/>
    <n v="114627070"/>
    <n v="274875600"/>
    <n v="0"/>
    <n v="4959.6000000000004"/>
    <n v="1893.6"/>
    <n v="10276.9"/>
    <n v="6927.8"/>
    <n v="0"/>
    <n v="1540.3"/>
    <n v="1225"/>
    <n v="1541.1"/>
    <x v="13"/>
    <n v="57472.9"/>
    <n v="0"/>
    <n v="80337.2"/>
    <n v="19838.599999999999"/>
  </r>
  <r>
    <s v="MidCase"/>
    <s v="WestConnect_North"/>
    <x v="0"/>
    <n v="74641430"/>
    <n v="37167.9"/>
    <n v="79394360"/>
    <n v="391065.59999999998"/>
    <n v="193828.7"/>
    <n v="0"/>
    <n v="22820798"/>
    <n v="0"/>
    <n v="1756016.8"/>
    <n v="4220201.5"/>
    <n v="3766.1"/>
    <n v="0"/>
    <n v="2570388.7999999998"/>
    <n v="0"/>
    <n v="0"/>
    <n v="458659.8"/>
    <n v="8524890"/>
    <n v="38454748"/>
    <n v="0"/>
    <n v="411.5"/>
    <n v="1004"/>
    <n v="3247.6"/>
    <n v="3177.5"/>
    <n v="0"/>
    <n v="940.9"/>
    <n v="0"/>
    <n v="520.4"/>
    <x v="14"/>
    <n v="3348"/>
    <n v="0"/>
    <n v="10756.4"/>
    <n v="1645.9"/>
  </r>
  <r>
    <s v="MidCase"/>
    <s v="WestConnect_North"/>
    <x v="1"/>
    <n v="84926330"/>
    <n v="3216513.8"/>
    <n v="89521840"/>
    <n v="512315.3"/>
    <n v="158473.1"/>
    <n v="0"/>
    <n v="4637811"/>
    <n v="0"/>
    <n v="2512735.5"/>
    <n v="6240250.5"/>
    <n v="211927.6"/>
    <n v="0"/>
    <n v="2481633.7999999998"/>
    <n v="0"/>
    <n v="490.9"/>
    <n v="738518.6"/>
    <n v="8610224"/>
    <n v="63417460"/>
    <n v="0"/>
    <n v="411.5"/>
    <n v="1442.6"/>
    <n v="3153.6"/>
    <n v="1577.6"/>
    <n v="0"/>
    <n v="940.9"/>
    <n v="0"/>
    <n v="15.4"/>
    <x v="14"/>
    <n v="3348"/>
    <n v="0"/>
    <n v="16296.2"/>
    <n v="1645.9"/>
  </r>
  <r>
    <s v="MidCase"/>
    <s v="WestConnect_North"/>
    <x v="2"/>
    <n v="104410870"/>
    <n v="11001050"/>
    <n v="114267250"/>
    <n v="854180.4"/>
    <n v="158473.1"/>
    <n v="0"/>
    <n v="0"/>
    <n v="0"/>
    <n v="2875155"/>
    <n v="4012813.2"/>
    <n v="174595.8"/>
    <n v="0"/>
    <n v="2437601"/>
    <n v="0"/>
    <n v="965.2"/>
    <n v="986891.6"/>
    <n v="17447380"/>
    <n v="85319190"/>
    <n v="0"/>
    <n v="617.4"/>
    <n v="1662.8"/>
    <n v="3153.6"/>
    <n v="1577.6"/>
    <n v="0"/>
    <n v="940.9"/>
    <n v="0"/>
    <n v="15.4"/>
    <x v="14"/>
    <n v="7082.7"/>
    <n v="0"/>
    <n v="23232.2"/>
    <n v="2469.5"/>
  </r>
  <r>
    <s v="MidCase"/>
    <s v="WestConnect_North"/>
    <x v="3"/>
    <n v="113585420"/>
    <n v="14648566"/>
    <n v="127722300"/>
    <n v="3458858.5"/>
    <n v="158473.1"/>
    <n v="0"/>
    <n v="0"/>
    <n v="0"/>
    <n v="2919665"/>
    <n v="2686459.2"/>
    <n v="135039.4"/>
    <n v="0"/>
    <n v="2418695.7999999998"/>
    <n v="0"/>
    <n v="223.2"/>
    <n v="1189836.5"/>
    <n v="27261206"/>
    <n v="87493850"/>
    <n v="0"/>
    <n v="2497.3000000000002"/>
    <n v="1691"/>
    <n v="3153.6"/>
    <n v="2298"/>
    <n v="0"/>
    <n v="940.9"/>
    <n v="0"/>
    <n v="15.4"/>
    <x v="14"/>
    <n v="11316.1"/>
    <n v="0"/>
    <n v="24003.7"/>
    <n v="9989.2999999999993"/>
  </r>
  <r>
    <s v="MidCase"/>
    <s v="WestConnect_North"/>
    <x v="4"/>
    <n v="125035816"/>
    <n v="17878656"/>
    <n v="137680160"/>
    <n v="3484888.5"/>
    <n v="121644.3"/>
    <n v="0"/>
    <n v="0"/>
    <n v="0"/>
    <n v="3282142.2"/>
    <n v="2292662"/>
    <n v="98974.5"/>
    <n v="0"/>
    <n v="2409811.2000000002"/>
    <n v="0"/>
    <n v="82.8"/>
    <n v="1200168"/>
    <n v="28481428"/>
    <n v="96308350"/>
    <n v="0"/>
    <n v="2497.3000000000002"/>
    <n v="1900.8"/>
    <n v="3098.6"/>
    <n v="2298"/>
    <n v="0"/>
    <n v="940.9"/>
    <n v="0"/>
    <n v="15.4"/>
    <x v="14"/>
    <n v="11511.3"/>
    <n v="0"/>
    <n v="26570.7"/>
    <n v="9989.2999999999993"/>
  </r>
  <r>
    <s v="MidCase"/>
    <s v="WestConnect_North"/>
    <x v="5"/>
    <n v="135514500"/>
    <n v="20323016"/>
    <n v="149861870"/>
    <n v="5158239.5"/>
    <n v="121644.3"/>
    <n v="0"/>
    <n v="0"/>
    <n v="0"/>
    <n v="3888376.5"/>
    <n v="1703253.8"/>
    <n v="62110.8"/>
    <n v="0"/>
    <n v="2297449.2000000002"/>
    <n v="0"/>
    <n v="24.8"/>
    <n v="1100421.8999999999"/>
    <n v="30293020"/>
    <n v="105237320"/>
    <n v="0"/>
    <n v="3982.1"/>
    <n v="2245.1999999999998"/>
    <n v="2754.5"/>
    <n v="2356.9"/>
    <n v="0"/>
    <n v="940.9"/>
    <n v="0"/>
    <n v="10"/>
    <x v="14"/>
    <n v="12104.5"/>
    <n v="0"/>
    <n v="29392.2"/>
    <n v="15928.5"/>
  </r>
  <r>
    <s v="MidCase"/>
    <s v="WestConnect_South"/>
    <x v="0"/>
    <n v="126094270"/>
    <n v="9876.9"/>
    <n v="129933590"/>
    <n v="2701639.2"/>
    <n v="240248.2"/>
    <n v="0"/>
    <n v="26826394"/>
    <n v="0"/>
    <n v="5169079"/>
    <n v="23337198"/>
    <n v="1652768"/>
    <n v="63918.6"/>
    <n v="10164722"/>
    <n v="31446268"/>
    <n v="50585"/>
    <n v="217257"/>
    <n v="17405378"/>
    <n v="10658149"/>
    <n v="0"/>
    <n v="2160.1999999999998"/>
    <n v="2708.4"/>
    <n v="13182.5"/>
    <n v="4544.1000000000004"/>
    <n v="8.6"/>
    <n v="2803.6"/>
    <n v="3937"/>
    <n v="1545"/>
    <x v="15"/>
    <n v="6296.5"/>
    <n v="0"/>
    <n v="3262.5"/>
    <n v="8640.9"/>
  </r>
  <r>
    <s v="MidCase"/>
    <s v="WestConnect_South"/>
    <x v="1"/>
    <n v="139696750"/>
    <n v="2115486.7999999998"/>
    <n v="152794240"/>
    <n v="3587172.8"/>
    <n v="240248.2"/>
    <n v="0"/>
    <n v="13866426"/>
    <n v="229326.2"/>
    <n v="6409063"/>
    <n v="17626892"/>
    <n v="345856.8"/>
    <n v="61138.5"/>
    <n v="11350000"/>
    <n v="31446268"/>
    <n v="23027.1"/>
    <n v="438512.1"/>
    <n v="38018230"/>
    <n v="29152076"/>
    <n v="0"/>
    <n v="2514.8000000000002"/>
    <n v="3388.5"/>
    <n v="12790.9"/>
    <n v="3497.6"/>
    <n v="8.6"/>
    <n v="3200.6"/>
    <n v="3937"/>
    <n v="986.1"/>
    <x v="15"/>
    <n v="13936.6"/>
    <n v="0"/>
    <n v="8018.4"/>
    <n v="10059.1"/>
  </r>
  <r>
    <s v="MidCase"/>
    <s v="WestConnect_South"/>
    <x v="2"/>
    <n v="158624200"/>
    <n v="10256954"/>
    <n v="178281570"/>
    <n v="9114386"/>
    <n v="224043.6"/>
    <n v="0"/>
    <n v="0"/>
    <n v="185492.8"/>
    <n v="6318127.5"/>
    <n v="17462772"/>
    <n v="338496.6"/>
    <n v="56385.1"/>
    <n v="11172740"/>
    <n v="31446268"/>
    <n v="21662.2"/>
    <n v="509095.2"/>
    <n v="58007680"/>
    <n v="43424424"/>
    <n v="0"/>
    <n v="6307.5"/>
    <n v="3389.5"/>
    <n v="12446.9"/>
    <n v="3497.6"/>
    <n v="8.6"/>
    <n v="3200.6"/>
    <n v="3937"/>
    <n v="500"/>
    <x v="15"/>
    <n v="22788.400000000001"/>
    <n v="0"/>
    <n v="12724.4"/>
    <n v="25229.8"/>
  </r>
  <r>
    <s v="MidCase"/>
    <s v="WestConnect_South"/>
    <x v="3"/>
    <n v="179909140"/>
    <n v="19695392"/>
    <n v="201599070"/>
    <n v="12197032"/>
    <n v="224043.6"/>
    <n v="0"/>
    <n v="0"/>
    <n v="155033.5"/>
    <n v="6345113"/>
    <n v="14981555"/>
    <n v="202950.6"/>
    <n v="53487.5"/>
    <n v="11129281"/>
    <n v="31446268"/>
    <n v="4773"/>
    <n v="551786.9"/>
    <n v="74851190"/>
    <n v="49456564"/>
    <n v="0"/>
    <n v="8379.2999999999993"/>
    <n v="3410.8"/>
    <n v="12446.9"/>
    <n v="3497.6"/>
    <n v="8.6"/>
    <n v="3200.6"/>
    <n v="3937"/>
    <n v="175"/>
    <x v="15"/>
    <n v="31571.9"/>
    <n v="0"/>
    <n v="14805.5"/>
    <n v="33517"/>
  </r>
  <r>
    <s v="MidCase"/>
    <s v="WestConnect_South"/>
    <x v="4"/>
    <n v="197644800"/>
    <n v="35829140"/>
    <n v="247925400"/>
    <n v="26302972"/>
    <n v="224043.6"/>
    <n v="0"/>
    <n v="0"/>
    <n v="147676.4"/>
    <n v="6464667"/>
    <n v="11919750"/>
    <n v="204299.1"/>
    <n v="42343.8"/>
    <n v="11103036"/>
    <n v="31446268"/>
    <n v="2892.8"/>
    <n v="565295"/>
    <n v="105401020"/>
    <n v="54101130"/>
    <n v="0"/>
    <n v="17065.5"/>
    <n v="3469.7"/>
    <n v="12446.9"/>
    <n v="3457.1"/>
    <n v="7"/>
    <n v="3200.6"/>
    <n v="3937"/>
    <n v="175"/>
    <x v="15"/>
    <n v="47433.8"/>
    <n v="0"/>
    <n v="16053.8"/>
    <n v="73014.100000000006"/>
  </r>
  <r>
    <s v="MidCase"/>
    <s v="WestConnect_South"/>
    <x v="5"/>
    <n v="214279490"/>
    <n v="49666760"/>
    <n v="299854800"/>
    <n v="45176188"/>
    <n v="205629.2"/>
    <n v="0"/>
    <n v="0"/>
    <n v="116036.2"/>
    <n v="6713939"/>
    <n v="11390663"/>
    <n v="105815.4"/>
    <n v="0"/>
    <n v="11072631"/>
    <n v="31446268"/>
    <n v="1012.5"/>
    <n v="558224.1"/>
    <n v="138472620"/>
    <n v="54595756"/>
    <n v="0"/>
    <n v="26962.5"/>
    <n v="3623.6"/>
    <n v="14129"/>
    <n v="3457.1"/>
    <n v="0"/>
    <n v="3200.6"/>
    <n v="3937"/>
    <n v="175"/>
    <x v="15"/>
    <n v="63612.9"/>
    <n v="0"/>
    <n v="16063.9"/>
    <n v="127109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08C171-B92C-4714-A393-A514B73C7D54}" name="피벗 테이블2" cacheId="10" applyNumberFormats="0" applyBorderFormats="0" applyFontFormats="0" applyPatternFormats="0" applyAlignmentFormats="0" applyWidthHeightFormats="1" dataCaption="값" grandTotalCaption="Total (TWh)" updatedVersion="8" minRefreshableVersion="3" useAutoFormatting="1" rowGrandTotals="0" itemPrintTitles="1" createdVersion="8" indent="0" outline="1" outlineData="1" multipleFieldFilters="0" chartFormat="6" rowHeaderCaption="label">
  <location ref="A3:M9" firstHeaderRow="0" firstDataRow="1" firstDataCol="1"/>
  <pivotFields count="35"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numFmtId="164" showAll="0"/>
    <pivotField dataField="1" numFmtId="164" showAll="0"/>
    <pivotField numFmtId="164" showAll="0"/>
    <pivotField dataField="1" numFmtId="164" showAll="0"/>
    <pivotField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  <pivotField dataField="1" numFmtId="164" showAll="0"/>
    <pivotField dataField="1"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coal" fld="9" baseField="0" baseItem="0" numFmtId="164"/>
    <dataField name="o-g-s" fld="17" baseField="0" baseItem="0" numFmtId="164"/>
    <dataField name="nuclear" fld="16" baseField="0" baseItem="0" numFmtId="164"/>
    <dataField name="gas-cc" fld="12" baseField="0" baseItem="0" numFmtId="164"/>
    <dataField name="gas-ct" fld="13" baseField="0" baseItem="0" numFmtId="164"/>
    <dataField name="geothermal" fld="14" baseField="0" baseItem="0" numFmtId="164"/>
    <dataField name="hydro" fld="15" baseField="0" baseItem="0" numFmtId="164"/>
    <dataField name="upv" fld="19" baseField="0" baseItem="0" numFmtId="164"/>
    <dataField name="wind-ons" fld="20" baseField="0" baseItem="0" numFmtId="164"/>
    <dataField name="wind-ofs" fld="21" baseField="0" baseItem="0" numFmtId="164"/>
    <dataField name="distpv" fld="11" baseField="0" baseItem="0" numFmtId="164"/>
    <dataField name="biomass" fld="7" baseField="0" baseItem="0" numFmtId="164"/>
  </dataFields>
  <formats count="3">
    <format dxfId="0">
      <pivotArea outline="0" collapsedLevelsAreSubtotals="1" fieldPosition="0"/>
    </format>
    <format dxfId="1">
      <pivotArea outline="0" collapsedLevelsAreSubtotals="1" fieldPosition="0"/>
    </format>
    <format dxfId="2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chartFormats count="13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8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9765-5EF9-4F5F-9A57-F03E3808B985}">
  <sheetPr filterMode="1"/>
  <dimension ref="A1:AI109"/>
  <sheetViews>
    <sheetView workbookViewId="0">
      <selection activeCell="E3" sqref="E3:E105"/>
    </sheetView>
  </sheetViews>
  <sheetFormatPr defaultRowHeight="14.4"/>
  <cols>
    <col min="5" max="5" width="14.44140625" customWidth="1"/>
    <col min="7" max="7" width="12.44140625" bestFit="1" customWidth="1"/>
    <col min="8" max="8" width="11.44140625" bestFit="1" customWidth="1"/>
    <col min="9" max="9" width="12.44140625" bestFit="1" customWidth="1"/>
    <col min="10" max="10" width="13.5546875" bestFit="1" customWidth="1"/>
    <col min="11" max="11" width="10" bestFit="1" customWidth="1"/>
    <col min="12" max="12" width="12.44140625" bestFit="1" customWidth="1"/>
    <col min="13" max="13" width="13.5546875" bestFit="1" customWidth="1"/>
    <col min="14" max="15" width="12.44140625" bestFit="1" customWidth="1"/>
    <col min="16" max="17" width="13.5546875" bestFit="1" customWidth="1"/>
    <col min="18" max="19" width="12.44140625" bestFit="1" customWidth="1"/>
    <col min="20" max="21" width="13.5546875" bestFit="1" customWidth="1"/>
    <col min="22" max="22" width="12.44140625" bestFit="1" customWidth="1"/>
    <col min="23" max="31" width="9" bestFit="1" customWidth="1"/>
    <col min="32" max="32" width="10" bestFit="1" customWidth="1"/>
    <col min="33" max="33" width="9" bestFit="1" customWidth="1"/>
    <col min="34" max="35" width="10" bestFit="1" customWidth="1"/>
  </cols>
  <sheetData>
    <row r="1" spans="1:35">
      <c r="A1" t="s">
        <v>0</v>
      </c>
      <c r="B1" t="s">
        <v>1</v>
      </c>
      <c r="C1" t="s">
        <v>53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hidden="1">
      <c r="A2" t="s">
        <v>34</v>
      </c>
      <c r="B2" t="s">
        <v>35</v>
      </c>
      <c r="C2">
        <v>2025</v>
      </c>
      <c r="D2">
        <v>302088420</v>
      </c>
      <c r="E2">
        <v>0</v>
      </c>
      <c r="F2">
        <v>301437920</v>
      </c>
      <c r="G2" s="8">
        <v>17032912</v>
      </c>
      <c r="H2" s="8">
        <v>4835026</v>
      </c>
      <c r="I2" s="8">
        <v>0</v>
      </c>
      <c r="J2" s="8">
        <v>0</v>
      </c>
      <c r="K2" s="8">
        <v>0</v>
      </c>
      <c r="L2" s="8">
        <v>24006458</v>
      </c>
      <c r="M2" s="8">
        <v>97282664</v>
      </c>
      <c r="N2" s="8">
        <v>3806885.5</v>
      </c>
      <c r="O2" s="8">
        <v>14791661</v>
      </c>
      <c r="P2" s="8">
        <v>29476804</v>
      </c>
      <c r="Q2" s="8">
        <v>17891704</v>
      </c>
      <c r="R2" s="8">
        <v>327695.40000000002</v>
      </c>
      <c r="S2" s="8">
        <v>2670589.2000000002</v>
      </c>
      <c r="T2" s="8">
        <v>68728720</v>
      </c>
      <c r="U2" s="8">
        <v>20586816</v>
      </c>
      <c r="V2" s="8">
        <v>0</v>
      </c>
      <c r="W2" s="8">
        <v>13651.7</v>
      </c>
      <c r="X2" s="8">
        <v>14254.5</v>
      </c>
      <c r="Y2" s="8">
        <v>19797</v>
      </c>
      <c r="Z2" s="8">
        <v>11040.1</v>
      </c>
      <c r="AA2" s="8">
        <v>1986.3</v>
      </c>
      <c r="AB2" s="8">
        <v>10220.700000000001</v>
      </c>
      <c r="AC2" s="8">
        <v>2240</v>
      </c>
      <c r="AD2" s="8">
        <v>1033.5</v>
      </c>
      <c r="AE2" s="8">
        <v>3911.9</v>
      </c>
      <c r="AF2" s="8">
        <v>24846.3</v>
      </c>
      <c r="AG2" s="8">
        <v>0</v>
      </c>
      <c r="AH2" s="8">
        <v>6968.7</v>
      </c>
      <c r="AI2" s="8">
        <v>54606.8</v>
      </c>
    </row>
    <row r="3" spans="1:35">
      <c r="A3" t="s">
        <v>34</v>
      </c>
      <c r="B3" t="s">
        <v>35</v>
      </c>
      <c r="C3">
        <v>2030</v>
      </c>
      <c r="D3">
        <v>338845600</v>
      </c>
      <c r="E3">
        <v>606700.1</v>
      </c>
      <c r="F3">
        <v>344684220</v>
      </c>
      <c r="G3" s="8">
        <v>19932980</v>
      </c>
      <c r="H3" s="8">
        <v>4655301.5</v>
      </c>
      <c r="I3" s="8">
        <v>0</v>
      </c>
      <c r="J3" s="8">
        <v>0</v>
      </c>
      <c r="K3" s="8">
        <v>0</v>
      </c>
      <c r="L3" s="8">
        <v>27880570</v>
      </c>
      <c r="M3" s="8">
        <v>93337360</v>
      </c>
      <c r="N3" s="8">
        <v>3263609.5</v>
      </c>
      <c r="O3" s="8">
        <v>21292942</v>
      </c>
      <c r="P3" s="8">
        <v>30795188</v>
      </c>
      <c r="Q3" s="8">
        <v>0</v>
      </c>
      <c r="R3" s="8">
        <v>339174.40000000002</v>
      </c>
      <c r="S3" s="8">
        <v>9016187</v>
      </c>
      <c r="T3" s="8">
        <v>95864450</v>
      </c>
      <c r="U3" s="8">
        <v>38165268</v>
      </c>
      <c r="V3" s="8">
        <v>141214.1</v>
      </c>
      <c r="W3" s="8">
        <v>14526.4</v>
      </c>
      <c r="X3" s="8">
        <v>16545</v>
      </c>
      <c r="Y3" s="8">
        <v>22095</v>
      </c>
      <c r="Z3" s="8">
        <v>10927.5</v>
      </c>
      <c r="AA3" s="8">
        <v>2878.3</v>
      </c>
      <c r="AB3" s="8">
        <v>10705.1</v>
      </c>
      <c r="AC3" s="8">
        <v>0</v>
      </c>
      <c r="AD3" s="8">
        <v>614.6</v>
      </c>
      <c r="AE3" s="8">
        <v>5111.8999999999996</v>
      </c>
      <c r="AF3" s="8">
        <v>35072.9</v>
      </c>
      <c r="AG3" s="8">
        <v>60</v>
      </c>
      <c r="AH3" s="8">
        <v>12497.3</v>
      </c>
      <c r="AI3" s="8">
        <v>58105.7</v>
      </c>
    </row>
    <row r="4" spans="1:35" hidden="1">
      <c r="A4" t="s">
        <v>34</v>
      </c>
      <c r="B4" t="s">
        <v>35</v>
      </c>
      <c r="C4">
        <v>2035</v>
      </c>
      <c r="D4">
        <v>403000160</v>
      </c>
      <c r="E4">
        <v>2744557.5</v>
      </c>
      <c r="F4">
        <v>416409660</v>
      </c>
      <c r="G4" s="8">
        <v>35333456</v>
      </c>
      <c r="H4" s="8">
        <v>2293102.7999999998</v>
      </c>
      <c r="I4" s="8">
        <v>0</v>
      </c>
      <c r="J4" s="8">
        <v>0</v>
      </c>
      <c r="K4" s="8">
        <v>0</v>
      </c>
      <c r="L4" s="8">
        <v>26830626</v>
      </c>
      <c r="M4" s="8">
        <v>75889050</v>
      </c>
      <c r="N4" s="8">
        <v>2298422.2000000002</v>
      </c>
      <c r="O4" s="8">
        <v>33280298</v>
      </c>
      <c r="P4" s="8">
        <v>32512512</v>
      </c>
      <c r="Q4" s="8">
        <v>0</v>
      </c>
      <c r="R4" s="8">
        <v>212003.6</v>
      </c>
      <c r="S4" s="8">
        <v>10309717</v>
      </c>
      <c r="T4" s="8">
        <v>140559500</v>
      </c>
      <c r="U4" s="8">
        <v>40659252</v>
      </c>
      <c r="V4" s="8">
        <v>16231731</v>
      </c>
      <c r="W4" s="8">
        <v>25706.400000000001</v>
      </c>
      <c r="X4" s="8">
        <v>15924.8</v>
      </c>
      <c r="Y4" s="8">
        <v>21985</v>
      </c>
      <c r="Z4" s="8">
        <v>10531.6</v>
      </c>
      <c r="AA4" s="8">
        <v>4689.7</v>
      </c>
      <c r="AB4" s="8">
        <v>11240.2</v>
      </c>
      <c r="AC4" s="8">
        <v>0</v>
      </c>
      <c r="AD4" s="8">
        <v>614.6</v>
      </c>
      <c r="AE4" s="8">
        <v>5111.8999999999996</v>
      </c>
      <c r="AF4" s="8">
        <v>51056.6</v>
      </c>
      <c r="AG4" s="8">
        <v>3683</v>
      </c>
      <c r="AH4" s="8">
        <v>12885.4</v>
      </c>
      <c r="AI4" s="8">
        <v>102825.7</v>
      </c>
    </row>
    <row r="5" spans="1:35" hidden="1">
      <c r="A5" t="s">
        <v>34</v>
      </c>
      <c r="B5" t="s">
        <v>35</v>
      </c>
      <c r="C5">
        <v>2040</v>
      </c>
      <c r="D5">
        <v>459452320</v>
      </c>
      <c r="E5">
        <v>3704959.2</v>
      </c>
      <c r="F5">
        <v>477821440</v>
      </c>
      <c r="G5" s="8">
        <v>50599100</v>
      </c>
      <c r="H5" s="8">
        <v>1946912.2</v>
      </c>
      <c r="I5" s="8">
        <v>0</v>
      </c>
      <c r="J5" s="8">
        <v>0</v>
      </c>
      <c r="K5" s="8">
        <v>0</v>
      </c>
      <c r="L5" s="8">
        <v>26847772</v>
      </c>
      <c r="M5" s="8">
        <v>77152376</v>
      </c>
      <c r="N5" s="8">
        <v>1244699.1000000001</v>
      </c>
      <c r="O5" s="8">
        <v>33615412</v>
      </c>
      <c r="P5" s="8">
        <v>32514404</v>
      </c>
      <c r="Q5" s="8">
        <v>0</v>
      </c>
      <c r="R5" s="8">
        <v>68979.899999999994</v>
      </c>
      <c r="S5" s="8">
        <v>10665249</v>
      </c>
      <c r="T5" s="8">
        <v>168725490</v>
      </c>
      <c r="U5" s="8">
        <v>41499124</v>
      </c>
      <c r="V5" s="8">
        <v>32941936</v>
      </c>
      <c r="W5" s="8">
        <v>36829.1</v>
      </c>
      <c r="X5" s="8">
        <v>15944.1</v>
      </c>
      <c r="Y5" s="8">
        <v>23749.5</v>
      </c>
      <c r="Z5" s="8">
        <v>10711.1</v>
      </c>
      <c r="AA5" s="8">
        <v>4736.2</v>
      </c>
      <c r="AB5" s="8">
        <v>11240.9</v>
      </c>
      <c r="AC5" s="8">
        <v>0</v>
      </c>
      <c r="AD5" s="8">
        <v>169.2</v>
      </c>
      <c r="AE5" s="8">
        <v>5111.8999999999996</v>
      </c>
      <c r="AF5" s="8">
        <v>61435.9</v>
      </c>
      <c r="AG5" s="8">
        <v>7602</v>
      </c>
      <c r="AH5" s="8">
        <v>12897.1</v>
      </c>
      <c r="AI5" s="8">
        <v>147316.4</v>
      </c>
    </row>
    <row r="6" spans="1:35" hidden="1">
      <c r="A6" t="s">
        <v>34</v>
      </c>
      <c r="B6" t="s">
        <v>35</v>
      </c>
      <c r="C6">
        <v>2045</v>
      </c>
      <c r="D6">
        <v>519194720</v>
      </c>
      <c r="E6">
        <v>5084449</v>
      </c>
      <c r="F6">
        <v>542441800</v>
      </c>
      <c r="G6" s="8">
        <v>65899210</v>
      </c>
      <c r="H6" s="8">
        <v>1946912.2</v>
      </c>
      <c r="I6" s="8">
        <v>0</v>
      </c>
      <c r="J6" s="8">
        <v>0</v>
      </c>
      <c r="K6" s="8">
        <v>0</v>
      </c>
      <c r="L6" s="8">
        <v>27252186</v>
      </c>
      <c r="M6" s="8">
        <v>67227900</v>
      </c>
      <c r="N6" s="8">
        <v>799444.8</v>
      </c>
      <c r="O6" s="8">
        <v>71611400</v>
      </c>
      <c r="P6" s="8">
        <v>32513860</v>
      </c>
      <c r="Q6" s="8">
        <v>0</v>
      </c>
      <c r="R6" s="8">
        <v>46956</v>
      </c>
      <c r="S6" s="8">
        <v>11214305</v>
      </c>
      <c r="T6" s="8">
        <v>198066100</v>
      </c>
      <c r="U6" s="8">
        <v>32613114</v>
      </c>
      <c r="V6" s="8">
        <v>33250410</v>
      </c>
      <c r="W6" s="8">
        <v>48194</v>
      </c>
      <c r="X6" s="8">
        <v>16196.3</v>
      </c>
      <c r="Y6" s="8">
        <v>23128.5</v>
      </c>
      <c r="Z6" s="8">
        <v>9476.2999999999993</v>
      </c>
      <c r="AA6" s="8">
        <v>9931.7999999999993</v>
      </c>
      <c r="AB6" s="8">
        <v>11240.9</v>
      </c>
      <c r="AC6" s="8">
        <v>0</v>
      </c>
      <c r="AD6" s="8">
        <v>166.4</v>
      </c>
      <c r="AE6" s="8">
        <v>5287.2</v>
      </c>
      <c r="AF6" s="8">
        <v>72222.7</v>
      </c>
      <c r="AG6" s="8">
        <v>7602</v>
      </c>
      <c r="AH6" s="8">
        <v>11063.3</v>
      </c>
      <c r="AI6" s="8">
        <v>193169</v>
      </c>
    </row>
    <row r="7" spans="1:35" hidden="1">
      <c r="A7" t="s">
        <v>34</v>
      </c>
      <c r="B7" t="s">
        <v>35</v>
      </c>
      <c r="C7">
        <v>2050</v>
      </c>
      <c r="D7">
        <v>571970240</v>
      </c>
      <c r="E7">
        <v>5239836.5</v>
      </c>
      <c r="F7">
        <v>591425000</v>
      </c>
      <c r="G7" s="8">
        <v>76959630</v>
      </c>
      <c r="H7" s="8">
        <v>1946912.2</v>
      </c>
      <c r="I7" s="8">
        <v>0</v>
      </c>
      <c r="J7" s="8">
        <v>0</v>
      </c>
      <c r="K7" s="8">
        <v>0</v>
      </c>
      <c r="L7" s="8">
        <v>28507356</v>
      </c>
      <c r="M7" s="8">
        <v>69709976</v>
      </c>
      <c r="N7" s="8">
        <v>517853.4</v>
      </c>
      <c r="O7" s="8">
        <v>72699970</v>
      </c>
      <c r="P7" s="8">
        <v>32513996</v>
      </c>
      <c r="Q7" s="8">
        <v>0</v>
      </c>
      <c r="R7" s="8">
        <v>36301.199999999997</v>
      </c>
      <c r="S7" s="8">
        <v>10900823</v>
      </c>
      <c r="T7" s="8">
        <v>218374110</v>
      </c>
      <c r="U7" s="8">
        <v>45900930</v>
      </c>
      <c r="V7" s="8">
        <v>33357164</v>
      </c>
      <c r="W7" s="8">
        <v>54265.1</v>
      </c>
      <c r="X7" s="8">
        <v>16938</v>
      </c>
      <c r="Y7" s="8">
        <v>24320.1</v>
      </c>
      <c r="Z7" s="8">
        <v>10343.299999999999</v>
      </c>
      <c r="AA7" s="8">
        <v>9955.1</v>
      </c>
      <c r="AB7" s="8">
        <v>11240.9</v>
      </c>
      <c r="AC7" s="8">
        <v>0</v>
      </c>
      <c r="AD7" s="8">
        <v>166.4</v>
      </c>
      <c r="AE7" s="8">
        <v>5287.2</v>
      </c>
      <c r="AF7" s="8">
        <v>79203.100000000006</v>
      </c>
      <c r="AG7" s="8">
        <v>7602</v>
      </c>
      <c r="AH7" s="8">
        <v>14083.6</v>
      </c>
      <c r="AI7" s="8">
        <v>228630.7</v>
      </c>
    </row>
    <row r="8" spans="1:35" hidden="1">
      <c r="A8" t="s">
        <v>34</v>
      </c>
      <c r="B8" t="s">
        <v>36</v>
      </c>
      <c r="C8">
        <v>2025</v>
      </c>
      <c r="D8">
        <v>425158500</v>
      </c>
      <c r="E8">
        <v>1179139.8</v>
      </c>
      <c r="F8">
        <v>438493630</v>
      </c>
      <c r="G8" s="8">
        <v>6917605</v>
      </c>
      <c r="H8" s="8">
        <v>599889.19999999995</v>
      </c>
      <c r="I8" s="8">
        <v>0</v>
      </c>
      <c r="J8" s="8">
        <v>59364376</v>
      </c>
      <c r="K8" s="8">
        <v>0</v>
      </c>
      <c r="L8" s="8">
        <v>4564623</v>
      </c>
      <c r="M8" s="8">
        <v>111167850</v>
      </c>
      <c r="N8" s="8">
        <v>1233917.6000000001</v>
      </c>
      <c r="O8" s="8">
        <v>0</v>
      </c>
      <c r="P8" s="8">
        <v>656955.19999999995</v>
      </c>
      <c r="Q8" s="8">
        <v>39777090</v>
      </c>
      <c r="R8" s="8">
        <v>1491274.6</v>
      </c>
      <c r="S8" s="8">
        <v>2946.4</v>
      </c>
      <c r="T8" s="8">
        <v>85544104</v>
      </c>
      <c r="U8" s="8">
        <v>127173010</v>
      </c>
      <c r="V8" s="8">
        <v>0</v>
      </c>
      <c r="W8" s="8">
        <v>7596.7</v>
      </c>
      <c r="X8" s="8">
        <v>2951.8</v>
      </c>
      <c r="Y8" s="8">
        <v>36165.699999999997</v>
      </c>
      <c r="Z8" s="8">
        <v>8767.2000000000007</v>
      </c>
      <c r="AA8" s="8">
        <v>0</v>
      </c>
      <c r="AB8" s="8">
        <v>562.70000000000005</v>
      </c>
      <c r="AC8" s="8">
        <v>4980</v>
      </c>
      <c r="AD8" s="8">
        <v>9669</v>
      </c>
      <c r="AE8" s="8">
        <v>5</v>
      </c>
      <c r="AF8" s="8">
        <v>34348.9</v>
      </c>
      <c r="AG8" s="8">
        <v>0</v>
      </c>
      <c r="AH8" s="8">
        <v>37044.199999999997</v>
      </c>
      <c r="AI8" s="8">
        <v>30386.6</v>
      </c>
    </row>
    <row r="9" spans="1:35">
      <c r="A9" t="s">
        <v>34</v>
      </c>
      <c r="B9" t="s">
        <v>36</v>
      </c>
      <c r="C9">
        <v>2030</v>
      </c>
      <c r="D9">
        <v>464480770</v>
      </c>
      <c r="E9">
        <v>37445836</v>
      </c>
      <c r="F9">
        <v>486251420</v>
      </c>
      <c r="G9" s="8">
        <v>12644303</v>
      </c>
      <c r="H9" s="8">
        <v>599889.19999999995</v>
      </c>
      <c r="I9" s="8">
        <v>0</v>
      </c>
      <c r="J9" s="8">
        <v>12346780</v>
      </c>
      <c r="K9" s="8">
        <v>0</v>
      </c>
      <c r="L9" s="8">
        <v>10537535</v>
      </c>
      <c r="M9" s="8">
        <v>88840970</v>
      </c>
      <c r="N9" s="8">
        <v>1395848.5</v>
      </c>
      <c r="O9" s="8">
        <v>0</v>
      </c>
      <c r="P9" s="8">
        <v>636228.19999999995</v>
      </c>
      <c r="Q9" s="8">
        <v>39777090</v>
      </c>
      <c r="R9" s="8">
        <v>1183618.5</v>
      </c>
      <c r="S9" s="8">
        <v>5793.5</v>
      </c>
      <c r="T9" s="8">
        <v>127855310</v>
      </c>
      <c r="U9" s="8">
        <v>190428020</v>
      </c>
      <c r="V9" s="8">
        <v>0</v>
      </c>
      <c r="W9" s="8">
        <v>10412.5</v>
      </c>
      <c r="X9" s="8">
        <v>6852.1</v>
      </c>
      <c r="Y9" s="8">
        <v>37220.300000000003</v>
      </c>
      <c r="Z9" s="8">
        <v>8446</v>
      </c>
      <c r="AA9" s="8">
        <v>0</v>
      </c>
      <c r="AB9" s="8">
        <v>562.70000000000005</v>
      </c>
      <c r="AC9" s="8">
        <v>4980</v>
      </c>
      <c r="AD9" s="8">
        <v>7439</v>
      </c>
      <c r="AE9" s="8">
        <v>5</v>
      </c>
      <c r="AF9" s="8">
        <v>58284.9</v>
      </c>
      <c r="AG9" s="8">
        <v>0</v>
      </c>
      <c r="AH9" s="8">
        <v>51520.2</v>
      </c>
      <c r="AI9" s="8">
        <v>41649.9</v>
      </c>
    </row>
    <row r="10" spans="1:35" hidden="1">
      <c r="A10" t="s">
        <v>34</v>
      </c>
      <c r="B10" t="s">
        <v>36</v>
      </c>
      <c r="C10">
        <v>2035</v>
      </c>
      <c r="D10">
        <v>525763500</v>
      </c>
      <c r="E10">
        <v>84725656</v>
      </c>
      <c r="F10">
        <v>562804540</v>
      </c>
      <c r="G10" s="8">
        <v>16263773</v>
      </c>
      <c r="H10" s="8">
        <v>599889.19999999995</v>
      </c>
      <c r="I10" s="8">
        <v>0</v>
      </c>
      <c r="J10" s="8">
        <v>0</v>
      </c>
      <c r="K10" s="8">
        <v>0</v>
      </c>
      <c r="L10" s="8">
        <v>14684037</v>
      </c>
      <c r="M10" s="8">
        <v>68278500</v>
      </c>
      <c r="N10" s="8">
        <v>1637833.8</v>
      </c>
      <c r="O10" s="8">
        <v>0</v>
      </c>
      <c r="P10" s="8">
        <v>622847.4</v>
      </c>
      <c r="Q10" s="8">
        <v>39777090</v>
      </c>
      <c r="R10" s="8">
        <v>1139396.3999999999</v>
      </c>
      <c r="S10" s="8">
        <v>7654.1</v>
      </c>
      <c r="T10" s="8">
        <v>158811820</v>
      </c>
      <c r="U10" s="8">
        <v>260981710</v>
      </c>
      <c r="V10" s="8">
        <v>0</v>
      </c>
      <c r="W10" s="8">
        <v>12815.7</v>
      </c>
      <c r="X10" s="8">
        <v>9563.7999999999993</v>
      </c>
      <c r="Y10" s="8">
        <v>37319.1</v>
      </c>
      <c r="Z10" s="8">
        <v>7954</v>
      </c>
      <c r="AA10" s="8">
        <v>0</v>
      </c>
      <c r="AB10" s="8">
        <v>562.70000000000005</v>
      </c>
      <c r="AC10" s="8">
        <v>4980</v>
      </c>
      <c r="AD10" s="8">
        <v>6789</v>
      </c>
      <c r="AE10" s="8">
        <v>5</v>
      </c>
      <c r="AF10" s="8">
        <v>83378.2</v>
      </c>
      <c r="AG10" s="8">
        <v>0</v>
      </c>
      <c r="AH10" s="8">
        <v>75003.600000000006</v>
      </c>
      <c r="AI10" s="8">
        <v>51262.9</v>
      </c>
    </row>
    <row r="11" spans="1:35" hidden="1">
      <c r="A11" t="s">
        <v>34</v>
      </c>
      <c r="B11" t="s">
        <v>36</v>
      </c>
      <c r="C11">
        <v>2040</v>
      </c>
      <c r="D11">
        <v>587657340</v>
      </c>
      <c r="E11">
        <v>78444470</v>
      </c>
      <c r="F11">
        <v>633378750</v>
      </c>
      <c r="G11" s="8">
        <v>26623136</v>
      </c>
      <c r="H11" s="8">
        <v>599889.19999999995</v>
      </c>
      <c r="I11" s="8">
        <v>0</v>
      </c>
      <c r="J11" s="8">
        <v>0</v>
      </c>
      <c r="K11" s="8">
        <v>0</v>
      </c>
      <c r="L11" s="8">
        <v>15931173</v>
      </c>
      <c r="M11" s="8">
        <v>82132910</v>
      </c>
      <c r="N11" s="8">
        <v>1463521.9</v>
      </c>
      <c r="O11" s="8">
        <v>0</v>
      </c>
      <c r="P11" s="8">
        <v>623547.69999999995</v>
      </c>
      <c r="Q11" s="8">
        <v>39777090</v>
      </c>
      <c r="R11" s="8">
        <v>245750.39999999999</v>
      </c>
      <c r="S11" s="8">
        <v>7530.4</v>
      </c>
      <c r="T11" s="8">
        <v>191085200</v>
      </c>
      <c r="U11" s="8">
        <v>274889020</v>
      </c>
      <c r="V11" s="8">
        <v>0</v>
      </c>
      <c r="W11" s="8">
        <v>22449.7</v>
      </c>
      <c r="X11" s="8">
        <v>10372.1</v>
      </c>
      <c r="Y11" s="8">
        <v>44974.400000000001</v>
      </c>
      <c r="Z11" s="8">
        <v>18031.900000000001</v>
      </c>
      <c r="AA11" s="8">
        <v>0</v>
      </c>
      <c r="AB11" s="8">
        <v>562.70000000000005</v>
      </c>
      <c r="AC11" s="8">
        <v>4980</v>
      </c>
      <c r="AD11" s="8">
        <v>5521</v>
      </c>
      <c r="AE11" s="8">
        <v>5</v>
      </c>
      <c r="AF11" s="8">
        <v>94069.9</v>
      </c>
      <c r="AG11" s="8">
        <v>0</v>
      </c>
      <c r="AH11" s="8">
        <v>77072.2</v>
      </c>
      <c r="AI11" s="8">
        <v>89798.9</v>
      </c>
    </row>
    <row r="12" spans="1:35" hidden="1">
      <c r="A12" t="s">
        <v>34</v>
      </c>
      <c r="B12" t="s">
        <v>36</v>
      </c>
      <c r="C12">
        <v>2045</v>
      </c>
      <c r="D12">
        <v>636448960</v>
      </c>
      <c r="E12">
        <v>149433400</v>
      </c>
      <c r="F12">
        <v>683842700</v>
      </c>
      <c r="G12" s="8">
        <v>24336022</v>
      </c>
      <c r="H12" s="8">
        <v>599889.19999999995</v>
      </c>
      <c r="I12" s="8">
        <v>0</v>
      </c>
      <c r="J12" s="8">
        <v>0</v>
      </c>
      <c r="K12" s="8">
        <v>0</v>
      </c>
      <c r="L12" s="8">
        <v>18201576</v>
      </c>
      <c r="M12" s="8">
        <v>73624960</v>
      </c>
      <c r="N12" s="8">
        <v>2332484.7999999998</v>
      </c>
      <c r="O12" s="8">
        <v>0</v>
      </c>
      <c r="P12" s="8">
        <v>604632.6</v>
      </c>
      <c r="Q12" s="8">
        <v>39777090</v>
      </c>
      <c r="R12" s="8">
        <v>308065.40000000002</v>
      </c>
      <c r="S12" s="8">
        <v>7717.4</v>
      </c>
      <c r="T12" s="8">
        <v>205197490</v>
      </c>
      <c r="U12" s="8">
        <v>318852770</v>
      </c>
      <c r="V12" s="8">
        <v>0</v>
      </c>
      <c r="W12" s="8">
        <v>20499.5</v>
      </c>
      <c r="X12" s="8">
        <v>11865.6</v>
      </c>
      <c r="Y12" s="8">
        <v>43712.3</v>
      </c>
      <c r="Z12" s="8">
        <v>16832.900000000001</v>
      </c>
      <c r="AA12" s="8">
        <v>0</v>
      </c>
      <c r="AB12" s="8">
        <v>562.70000000000005</v>
      </c>
      <c r="AC12" s="8">
        <v>4980</v>
      </c>
      <c r="AD12" s="8">
        <v>3273.2</v>
      </c>
      <c r="AE12" s="8">
        <v>5</v>
      </c>
      <c r="AF12" s="8">
        <v>116217.9</v>
      </c>
      <c r="AG12" s="8">
        <v>0</v>
      </c>
      <c r="AH12" s="8">
        <v>92246.7</v>
      </c>
      <c r="AI12" s="8">
        <v>81998</v>
      </c>
    </row>
    <row r="13" spans="1:35" hidden="1">
      <c r="A13" t="s">
        <v>34</v>
      </c>
      <c r="B13" t="s">
        <v>36</v>
      </c>
      <c r="C13">
        <v>2050</v>
      </c>
      <c r="D13">
        <v>681279900</v>
      </c>
      <c r="E13">
        <v>185034130</v>
      </c>
      <c r="F13">
        <v>741918340</v>
      </c>
      <c r="G13" s="8">
        <v>34806036</v>
      </c>
      <c r="H13" s="8">
        <v>599889.19999999995</v>
      </c>
      <c r="I13" s="8">
        <v>0</v>
      </c>
      <c r="J13" s="8">
        <v>0</v>
      </c>
      <c r="K13" s="8">
        <v>0</v>
      </c>
      <c r="L13" s="8">
        <v>22311388</v>
      </c>
      <c r="M13" s="8">
        <v>65579724</v>
      </c>
      <c r="N13" s="8">
        <v>1706069.6</v>
      </c>
      <c r="O13" s="8">
        <v>0</v>
      </c>
      <c r="P13" s="8">
        <v>590159.30000000005</v>
      </c>
      <c r="Q13" s="8">
        <v>39777090</v>
      </c>
      <c r="R13" s="8">
        <v>66782.3</v>
      </c>
      <c r="S13" s="8">
        <v>6798.4</v>
      </c>
      <c r="T13" s="8">
        <v>227260620</v>
      </c>
      <c r="U13" s="8">
        <v>349213760</v>
      </c>
      <c r="V13" s="8">
        <v>0</v>
      </c>
      <c r="W13" s="8">
        <v>31089.599999999999</v>
      </c>
      <c r="X13" s="8">
        <v>14511.8</v>
      </c>
      <c r="Y13" s="8">
        <v>44832.5</v>
      </c>
      <c r="Z13" s="8">
        <v>16624.900000000001</v>
      </c>
      <c r="AA13" s="8">
        <v>0</v>
      </c>
      <c r="AB13" s="8">
        <v>562.70000000000005</v>
      </c>
      <c r="AC13" s="8">
        <v>4980</v>
      </c>
      <c r="AD13" s="8">
        <v>1259.2</v>
      </c>
      <c r="AE13" s="8">
        <v>5</v>
      </c>
      <c r="AF13" s="8">
        <v>129261</v>
      </c>
      <c r="AG13" s="8">
        <v>0</v>
      </c>
      <c r="AH13" s="8">
        <v>104007.9</v>
      </c>
      <c r="AI13" s="8">
        <v>124358.39999999999</v>
      </c>
    </row>
    <row r="14" spans="1:35" hidden="1">
      <c r="A14" t="s">
        <v>34</v>
      </c>
      <c r="B14" t="s">
        <v>37</v>
      </c>
      <c r="C14">
        <v>2025</v>
      </c>
      <c r="D14">
        <v>271088480</v>
      </c>
      <c r="E14">
        <v>0</v>
      </c>
      <c r="F14">
        <v>270654500</v>
      </c>
      <c r="G14" s="8">
        <v>538761.1</v>
      </c>
      <c r="H14" s="8">
        <v>3635373.5</v>
      </c>
      <c r="I14" s="8">
        <v>0</v>
      </c>
      <c r="J14" s="8">
        <v>26695728</v>
      </c>
      <c r="K14" s="8">
        <v>0</v>
      </c>
      <c r="L14" s="8">
        <v>2802890.2</v>
      </c>
      <c r="M14" s="8">
        <v>183189470</v>
      </c>
      <c r="N14" s="8">
        <v>1512994.4</v>
      </c>
      <c r="O14" s="8">
        <v>0</v>
      </c>
      <c r="P14" s="8">
        <v>216437.4</v>
      </c>
      <c r="Q14" s="8">
        <v>29281690</v>
      </c>
      <c r="R14" s="8">
        <v>559293</v>
      </c>
      <c r="S14" s="8">
        <v>0</v>
      </c>
      <c r="T14" s="8">
        <v>22221862</v>
      </c>
      <c r="U14" s="8">
        <v>0</v>
      </c>
      <c r="V14" s="8">
        <v>0</v>
      </c>
      <c r="W14" s="8">
        <v>688.2</v>
      </c>
      <c r="X14" s="8">
        <v>1771.9</v>
      </c>
      <c r="Y14" s="8">
        <v>38501.9</v>
      </c>
      <c r="Z14" s="8">
        <v>8691.7999999999993</v>
      </c>
      <c r="AA14" s="8">
        <v>0</v>
      </c>
      <c r="AB14" s="8">
        <v>54.5</v>
      </c>
      <c r="AC14" s="8">
        <v>3666</v>
      </c>
      <c r="AD14" s="8">
        <v>4583.5</v>
      </c>
      <c r="AE14" s="8">
        <v>0</v>
      </c>
      <c r="AF14" s="8">
        <v>9294.2999999999993</v>
      </c>
      <c r="AG14" s="8">
        <v>0</v>
      </c>
      <c r="AH14" s="8">
        <v>0</v>
      </c>
      <c r="AI14" s="8">
        <v>2752.9</v>
      </c>
    </row>
    <row r="15" spans="1:35">
      <c r="A15" t="s">
        <v>34</v>
      </c>
      <c r="B15" t="s">
        <v>37</v>
      </c>
      <c r="C15">
        <v>2030</v>
      </c>
      <c r="D15">
        <v>295049900</v>
      </c>
      <c r="E15">
        <v>0</v>
      </c>
      <c r="F15">
        <v>297712500</v>
      </c>
      <c r="G15" s="8">
        <v>2366261</v>
      </c>
      <c r="H15" s="8">
        <v>3694621.5</v>
      </c>
      <c r="I15" s="8">
        <v>0</v>
      </c>
      <c r="J15" s="8">
        <v>8514026</v>
      </c>
      <c r="K15" s="8">
        <v>0</v>
      </c>
      <c r="L15" s="8">
        <v>5482469</v>
      </c>
      <c r="M15" s="8">
        <v>214009810</v>
      </c>
      <c r="N15" s="8">
        <v>414339.9</v>
      </c>
      <c r="O15" s="8">
        <v>0</v>
      </c>
      <c r="P15" s="8">
        <v>229464</v>
      </c>
      <c r="Q15" s="8">
        <v>29281690</v>
      </c>
      <c r="R15" s="8">
        <v>34592.6</v>
      </c>
      <c r="S15" s="8">
        <v>0</v>
      </c>
      <c r="T15" s="8">
        <v>33068518</v>
      </c>
      <c r="U15" s="8">
        <v>616732.19999999995</v>
      </c>
      <c r="V15" s="8">
        <v>0</v>
      </c>
      <c r="W15" s="8">
        <v>2553.1999999999998</v>
      </c>
      <c r="X15" s="8">
        <v>3463.9</v>
      </c>
      <c r="Y15" s="8">
        <v>47095.6</v>
      </c>
      <c r="Z15" s="8">
        <v>8517.7999999999993</v>
      </c>
      <c r="AA15" s="8">
        <v>0</v>
      </c>
      <c r="AB15" s="8">
        <v>57.5</v>
      </c>
      <c r="AC15" s="8">
        <v>3666</v>
      </c>
      <c r="AD15" s="8">
        <v>4161.5</v>
      </c>
      <c r="AE15" s="8">
        <v>0</v>
      </c>
      <c r="AF15" s="8">
        <v>13658.3</v>
      </c>
      <c r="AG15" s="8">
        <v>0</v>
      </c>
      <c r="AH15" s="8">
        <v>290</v>
      </c>
      <c r="AI15" s="8">
        <v>10212.9</v>
      </c>
    </row>
    <row r="16" spans="1:35" hidden="1">
      <c r="A16" t="s">
        <v>34</v>
      </c>
      <c r="B16" t="s">
        <v>37</v>
      </c>
      <c r="C16">
        <v>2035</v>
      </c>
      <c r="D16">
        <v>330842620</v>
      </c>
      <c r="E16">
        <v>1343092.8</v>
      </c>
      <c r="F16">
        <v>353064000</v>
      </c>
      <c r="G16" s="8">
        <v>18380008</v>
      </c>
      <c r="H16" s="8">
        <v>3694621.5</v>
      </c>
      <c r="I16" s="8">
        <v>0</v>
      </c>
      <c r="J16" s="8">
        <v>0</v>
      </c>
      <c r="K16" s="8">
        <v>0</v>
      </c>
      <c r="L16" s="8">
        <v>8840111</v>
      </c>
      <c r="M16" s="8">
        <v>177292110</v>
      </c>
      <c r="N16" s="8">
        <v>329403.5</v>
      </c>
      <c r="O16" s="8">
        <v>0</v>
      </c>
      <c r="P16" s="8">
        <v>229388.5</v>
      </c>
      <c r="Q16" s="8">
        <v>29281690</v>
      </c>
      <c r="R16" s="8">
        <v>36375.199999999997</v>
      </c>
      <c r="S16" s="8">
        <v>0</v>
      </c>
      <c r="T16" s="8">
        <v>114361576</v>
      </c>
      <c r="U16" s="8">
        <v>618695.80000000005</v>
      </c>
      <c r="V16" s="8">
        <v>0</v>
      </c>
      <c r="W16" s="8">
        <v>13092.8</v>
      </c>
      <c r="X16" s="8">
        <v>5616</v>
      </c>
      <c r="Y16" s="8">
        <v>46923.6</v>
      </c>
      <c r="Z16" s="8">
        <v>8420.7999999999993</v>
      </c>
      <c r="AA16" s="8">
        <v>0</v>
      </c>
      <c r="AB16" s="8">
        <v>57.5</v>
      </c>
      <c r="AC16" s="8">
        <v>3666</v>
      </c>
      <c r="AD16" s="8">
        <v>3929.5</v>
      </c>
      <c r="AE16" s="8">
        <v>0</v>
      </c>
      <c r="AF16" s="8">
        <v>47298</v>
      </c>
      <c r="AG16" s="8">
        <v>0</v>
      </c>
      <c r="AH16" s="8">
        <v>290</v>
      </c>
      <c r="AI16" s="8">
        <v>52371.199999999997</v>
      </c>
    </row>
    <row r="17" spans="1:35" hidden="1">
      <c r="A17" t="s">
        <v>34</v>
      </c>
      <c r="B17" t="s">
        <v>37</v>
      </c>
      <c r="C17">
        <v>2040</v>
      </c>
      <c r="D17">
        <v>372987650</v>
      </c>
      <c r="E17">
        <v>3352929</v>
      </c>
      <c r="F17">
        <v>402362500</v>
      </c>
      <c r="G17" s="8">
        <v>24552370</v>
      </c>
      <c r="H17" s="8">
        <v>3695575.5</v>
      </c>
      <c r="I17" s="8">
        <v>0</v>
      </c>
      <c r="J17" s="8">
        <v>0</v>
      </c>
      <c r="K17" s="8">
        <v>0</v>
      </c>
      <c r="L17" s="8">
        <v>10795376</v>
      </c>
      <c r="M17" s="8">
        <v>182313000</v>
      </c>
      <c r="N17" s="8">
        <v>197670</v>
      </c>
      <c r="O17" s="8">
        <v>0</v>
      </c>
      <c r="P17" s="8">
        <v>229237.4</v>
      </c>
      <c r="Q17" s="8">
        <v>29281690</v>
      </c>
      <c r="R17" s="8">
        <v>13381.4</v>
      </c>
      <c r="S17" s="8">
        <v>0</v>
      </c>
      <c r="T17" s="8">
        <v>142808220</v>
      </c>
      <c r="U17" s="8">
        <v>8475979</v>
      </c>
      <c r="V17" s="8">
        <v>0</v>
      </c>
      <c r="W17" s="8">
        <v>18398.3</v>
      </c>
      <c r="X17" s="8">
        <v>6860.2</v>
      </c>
      <c r="Y17" s="8">
        <v>51879.5</v>
      </c>
      <c r="Z17" s="8">
        <v>8408.7999999999993</v>
      </c>
      <c r="AA17" s="8">
        <v>0</v>
      </c>
      <c r="AB17" s="8">
        <v>57.5</v>
      </c>
      <c r="AC17" s="8">
        <v>3666</v>
      </c>
      <c r="AD17" s="8">
        <v>3744.2</v>
      </c>
      <c r="AE17" s="8">
        <v>0</v>
      </c>
      <c r="AF17" s="8">
        <v>59766.5</v>
      </c>
      <c r="AG17" s="8">
        <v>0</v>
      </c>
      <c r="AH17" s="8">
        <v>3624</v>
      </c>
      <c r="AI17" s="8">
        <v>73593.399999999994</v>
      </c>
    </row>
    <row r="18" spans="1:35" hidden="1">
      <c r="A18" t="s">
        <v>34</v>
      </c>
      <c r="B18" t="s">
        <v>37</v>
      </c>
      <c r="C18">
        <v>2045</v>
      </c>
      <c r="D18">
        <v>414660220</v>
      </c>
      <c r="E18">
        <v>7409824</v>
      </c>
      <c r="F18">
        <v>449642180</v>
      </c>
      <c r="G18" s="8">
        <v>29172412</v>
      </c>
      <c r="H18" s="8">
        <v>3179972.8</v>
      </c>
      <c r="I18" s="8">
        <v>0</v>
      </c>
      <c r="J18" s="8">
        <v>0</v>
      </c>
      <c r="K18" s="8">
        <v>0</v>
      </c>
      <c r="L18" s="8">
        <v>13187224</v>
      </c>
      <c r="M18" s="8">
        <v>197030860</v>
      </c>
      <c r="N18" s="8">
        <v>61959</v>
      </c>
      <c r="O18" s="8">
        <v>0</v>
      </c>
      <c r="P18" s="8">
        <v>229237.4</v>
      </c>
      <c r="Q18" s="8">
        <v>29281690</v>
      </c>
      <c r="R18" s="8">
        <v>3102.7</v>
      </c>
      <c r="S18" s="8">
        <v>0</v>
      </c>
      <c r="T18" s="8">
        <v>168932180</v>
      </c>
      <c r="U18" s="8">
        <v>8563559</v>
      </c>
      <c r="V18" s="8">
        <v>0</v>
      </c>
      <c r="W18" s="8">
        <v>21961.1</v>
      </c>
      <c r="X18" s="8">
        <v>8403.5</v>
      </c>
      <c r="Y18" s="8">
        <v>60086.400000000001</v>
      </c>
      <c r="Z18" s="8">
        <v>8334.7999999999993</v>
      </c>
      <c r="AA18" s="8">
        <v>0</v>
      </c>
      <c r="AB18" s="8">
        <v>57.5</v>
      </c>
      <c r="AC18" s="8">
        <v>3666</v>
      </c>
      <c r="AD18" s="8">
        <v>3272.2</v>
      </c>
      <c r="AE18" s="8">
        <v>0</v>
      </c>
      <c r="AF18" s="8">
        <v>71451.199999999997</v>
      </c>
      <c r="AG18" s="8">
        <v>0</v>
      </c>
      <c r="AH18" s="8">
        <v>3624</v>
      </c>
      <c r="AI18" s="8">
        <v>87844.3</v>
      </c>
    </row>
    <row r="19" spans="1:35" hidden="1">
      <c r="A19" t="s">
        <v>34</v>
      </c>
      <c r="B19" t="s">
        <v>37</v>
      </c>
      <c r="C19">
        <v>2050</v>
      </c>
      <c r="D19">
        <v>456684600</v>
      </c>
      <c r="E19">
        <v>10333544</v>
      </c>
      <c r="F19">
        <v>501080480</v>
      </c>
      <c r="G19" s="8">
        <v>36824164</v>
      </c>
      <c r="H19" s="8">
        <v>3179972.8</v>
      </c>
      <c r="I19" s="8">
        <v>0</v>
      </c>
      <c r="J19" s="8">
        <v>0</v>
      </c>
      <c r="K19" s="8">
        <v>0</v>
      </c>
      <c r="L19" s="8">
        <v>14335922</v>
      </c>
      <c r="M19" s="8">
        <v>211757810</v>
      </c>
      <c r="N19" s="8">
        <v>13648.3</v>
      </c>
      <c r="O19" s="8">
        <v>0</v>
      </c>
      <c r="P19" s="8">
        <v>229161.9</v>
      </c>
      <c r="Q19" s="8">
        <v>29281690</v>
      </c>
      <c r="R19" s="8">
        <v>1.9</v>
      </c>
      <c r="S19" s="8">
        <v>0</v>
      </c>
      <c r="T19" s="8">
        <v>196819900</v>
      </c>
      <c r="U19" s="8">
        <v>8638213</v>
      </c>
      <c r="V19" s="8">
        <v>0</v>
      </c>
      <c r="W19" s="8">
        <v>28018.3</v>
      </c>
      <c r="X19" s="8">
        <v>9160.5</v>
      </c>
      <c r="Y19" s="8">
        <v>67635.399999999994</v>
      </c>
      <c r="Z19" s="8">
        <v>7441.8</v>
      </c>
      <c r="AA19" s="8">
        <v>0</v>
      </c>
      <c r="AB19" s="8">
        <v>57.5</v>
      </c>
      <c r="AC19" s="8">
        <v>3666</v>
      </c>
      <c r="AD19" s="8">
        <v>2267.1</v>
      </c>
      <c r="AE19" s="8">
        <v>0</v>
      </c>
      <c r="AF19" s="8">
        <v>83407.7</v>
      </c>
      <c r="AG19" s="8">
        <v>0</v>
      </c>
      <c r="AH19" s="8">
        <v>3624</v>
      </c>
      <c r="AI19" s="8">
        <v>112073.2</v>
      </c>
    </row>
    <row r="20" spans="1:35" hidden="1">
      <c r="A20" t="s">
        <v>34</v>
      </c>
      <c r="B20" t="s">
        <v>38</v>
      </c>
      <c r="C20">
        <v>2025</v>
      </c>
      <c r="D20">
        <v>129221030</v>
      </c>
      <c r="E20">
        <v>1330501.3999999999</v>
      </c>
      <c r="F20">
        <v>131849640</v>
      </c>
      <c r="G20" s="8">
        <v>276502.59999999998</v>
      </c>
      <c r="H20" s="8">
        <v>5986378</v>
      </c>
      <c r="I20" s="8">
        <v>15028038</v>
      </c>
      <c r="J20" s="8">
        <v>0</v>
      </c>
      <c r="K20" s="8">
        <v>0</v>
      </c>
      <c r="L20" s="8">
        <v>5695299.5</v>
      </c>
      <c r="M20" s="8">
        <v>50268844</v>
      </c>
      <c r="N20" s="8">
        <v>425087.2</v>
      </c>
      <c r="O20" s="8">
        <v>0</v>
      </c>
      <c r="P20" s="8">
        <v>6950209.5</v>
      </c>
      <c r="Q20" s="8">
        <v>26081950</v>
      </c>
      <c r="R20" s="8">
        <v>537723.30000000005</v>
      </c>
      <c r="S20" s="8">
        <v>1212285.2</v>
      </c>
      <c r="T20" s="8">
        <v>5210545</v>
      </c>
      <c r="U20" s="8">
        <v>7393313</v>
      </c>
      <c r="V20" s="8">
        <v>6783461</v>
      </c>
      <c r="W20" s="8">
        <v>246.2</v>
      </c>
      <c r="X20" s="8">
        <v>4366.8999999999996</v>
      </c>
      <c r="Y20" s="8">
        <v>13615.9</v>
      </c>
      <c r="Z20" s="8">
        <v>2132.6999999999998</v>
      </c>
      <c r="AA20" s="8">
        <v>0</v>
      </c>
      <c r="AB20" s="8">
        <v>1959.1</v>
      </c>
      <c r="AC20" s="8">
        <v>3265.4</v>
      </c>
      <c r="AD20" s="8">
        <v>5115.3</v>
      </c>
      <c r="AE20" s="8">
        <v>1830.4</v>
      </c>
      <c r="AF20" s="8">
        <v>3030</v>
      </c>
      <c r="AG20" s="8">
        <v>1695.4</v>
      </c>
      <c r="AH20" s="8">
        <v>2351.4</v>
      </c>
      <c r="AI20" s="8">
        <v>984.7</v>
      </c>
    </row>
    <row r="21" spans="1:35">
      <c r="A21" t="s">
        <v>34</v>
      </c>
      <c r="B21" t="s">
        <v>38</v>
      </c>
      <c r="C21">
        <v>2030</v>
      </c>
      <c r="D21">
        <v>141726900</v>
      </c>
      <c r="E21">
        <v>3291972.5</v>
      </c>
      <c r="F21">
        <v>145462960</v>
      </c>
      <c r="G21" s="8">
        <v>433154.6</v>
      </c>
      <c r="H21" s="8">
        <v>5308728</v>
      </c>
      <c r="I21" s="8">
        <v>15622685</v>
      </c>
      <c r="J21" s="8">
        <v>0</v>
      </c>
      <c r="K21" s="8">
        <v>0</v>
      </c>
      <c r="L21" s="8">
        <v>7855220</v>
      </c>
      <c r="M21" s="8">
        <v>32800412</v>
      </c>
      <c r="N21" s="8">
        <v>477675.4</v>
      </c>
      <c r="O21" s="8">
        <v>0</v>
      </c>
      <c r="P21" s="8">
        <v>6727494.5</v>
      </c>
      <c r="Q21" s="8">
        <v>26081950</v>
      </c>
      <c r="R21" s="8">
        <v>441722.6</v>
      </c>
      <c r="S21" s="8">
        <v>1764438.4</v>
      </c>
      <c r="T21" s="8">
        <v>6938593.5</v>
      </c>
      <c r="U21" s="8">
        <v>11278219</v>
      </c>
      <c r="V21" s="8">
        <v>29732662</v>
      </c>
      <c r="W21" s="8">
        <v>384.7</v>
      </c>
      <c r="X21" s="8">
        <v>5923</v>
      </c>
      <c r="Y21" s="8">
        <v>12274.6</v>
      </c>
      <c r="Z21" s="8">
        <v>1804.7</v>
      </c>
      <c r="AA21" s="8">
        <v>0</v>
      </c>
      <c r="AB21" s="8">
        <v>1963.8</v>
      </c>
      <c r="AC21" s="8">
        <v>3265.4</v>
      </c>
      <c r="AD21" s="8">
        <v>1602.3</v>
      </c>
      <c r="AE21" s="8">
        <v>1801</v>
      </c>
      <c r="AF21" s="8">
        <v>3984.7</v>
      </c>
      <c r="AG21" s="8">
        <v>7502</v>
      </c>
      <c r="AH21" s="8">
        <v>3491.5</v>
      </c>
      <c r="AI21" s="8">
        <v>1539</v>
      </c>
    </row>
    <row r="22" spans="1:35" hidden="1">
      <c r="A22" t="s">
        <v>34</v>
      </c>
      <c r="B22" t="s">
        <v>38</v>
      </c>
      <c r="C22">
        <v>2035</v>
      </c>
      <c r="D22">
        <v>158268560</v>
      </c>
      <c r="E22">
        <v>1107504.8</v>
      </c>
      <c r="F22">
        <v>165627600</v>
      </c>
      <c r="G22" s="8">
        <v>1713724.6</v>
      </c>
      <c r="H22" s="8">
        <v>3461395.5</v>
      </c>
      <c r="I22" s="8">
        <v>16737395</v>
      </c>
      <c r="J22" s="8">
        <v>0</v>
      </c>
      <c r="K22" s="8">
        <v>0</v>
      </c>
      <c r="L22" s="8">
        <v>9662748</v>
      </c>
      <c r="M22" s="8">
        <v>34251600</v>
      </c>
      <c r="N22" s="8">
        <v>620442.19999999995</v>
      </c>
      <c r="O22" s="8">
        <v>0</v>
      </c>
      <c r="P22" s="8">
        <v>7363137</v>
      </c>
      <c r="Q22" s="8">
        <v>26081950</v>
      </c>
      <c r="R22" s="8">
        <v>643528.19999999995</v>
      </c>
      <c r="S22" s="8">
        <v>1889726.8</v>
      </c>
      <c r="T22" s="8">
        <v>7528385</v>
      </c>
      <c r="U22" s="8">
        <v>18938852</v>
      </c>
      <c r="V22" s="8">
        <v>36734710</v>
      </c>
      <c r="W22" s="8">
        <v>2129.9</v>
      </c>
      <c r="X22" s="8">
        <v>7004</v>
      </c>
      <c r="Y22" s="8">
        <v>12178.5</v>
      </c>
      <c r="Z22" s="8">
        <v>1804.7</v>
      </c>
      <c r="AA22" s="8">
        <v>0</v>
      </c>
      <c r="AB22" s="8">
        <v>1978.8</v>
      </c>
      <c r="AC22" s="8">
        <v>3265.4</v>
      </c>
      <c r="AD22" s="8">
        <v>1457.3</v>
      </c>
      <c r="AE22" s="8">
        <v>1801</v>
      </c>
      <c r="AF22" s="8">
        <v>3984.7</v>
      </c>
      <c r="AG22" s="8">
        <v>9186</v>
      </c>
      <c r="AH22" s="8">
        <v>5086.3999999999996</v>
      </c>
      <c r="AI22" s="8">
        <v>8519.6</v>
      </c>
    </row>
    <row r="23" spans="1:35" hidden="1">
      <c r="A23" t="s">
        <v>34</v>
      </c>
      <c r="B23" t="s">
        <v>38</v>
      </c>
      <c r="C23">
        <v>2040</v>
      </c>
      <c r="D23">
        <v>176392830</v>
      </c>
      <c r="E23">
        <v>5325175</v>
      </c>
      <c r="F23">
        <v>194486190</v>
      </c>
      <c r="G23" s="8">
        <v>1725539.8</v>
      </c>
      <c r="H23" s="8">
        <v>2924431.8</v>
      </c>
      <c r="I23" s="8">
        <v>16622646</v>
      </c>
      <c r="J23" s="8">
        <v>0</v>
      </c>
      <c r="K23" s="8">
        <v>0</v>
      </c>
      <c r="L23" s="8">
        <v>9883335</v>
      </c>
      <c r="M23" s="8">
        <v>36276264</v>
      </c>
      <c r="N23" s="8">
        <v>3921473.2</v>
      </c>
      <c r="O23" s="8">
        <v>0</v>
      </c>
      <c r="P23" s="8">
        <v>7215574.5</v>
      </c>
      <c r="Q23" s="8">
        <v>26081950</v>
      </c>
      <c r="R23" s="8">
        <v>701439.9</v>
      </c>
      <c r="S23" s="8">
        <v>1806208.2</v>
      </c>
      <c r="T23" s="8">
        <v>8170125</v>
      </c>
      <c r="U23" s="8">
        <v>33527546</v>
      </c>
      <c r="V23" s="8">
        <v>45629660</v>
      </c>
      <c r="W23" s="8">
        <v>1975.8</v>
      </c>
      <c r="X23" s="8">
        <v>7160</v>
      </c>
      <c r="Y23" s="8">
        <v>13509</v>
      </c>
      <c r="Z23" s="8">
        <v>10730.8</v>
      </c>
      <c r="AA23" s="8">
        <v>0</v>
      </c>
      <c r="AB23" s="8">
        <v>1985.8</v>
      </c>
      <c r="AC23" s="8">
        <v>3265.4</v>
      </c>
      <c r="AD23" s="8">
        <v>1457.3</v>
      </c>
      <c r="AE23" s="8">
        <v>1801</v>
      </c>
      <c r="AF23" s="8">
        <v>4391.2</v>
      </c>
      <c r="AG23" s="8">
        <v>12030</v>
      </c>
      <c r="AH23" s="8">
        <v>9573.7999999999993</v>
      </c>
      <c r="AI23" s="8">
        <v>7903</v>
      </c>
    </row>
    <row r="24" spans="1:35" hidden="1">
      <c r="A24" t="s">
        <v>34</v>
      </c>
      <c r="B24" t="s">
        <v>38</v>
      </c>
      <c r="C24">
        <v>2045</v>
      </c>
      <c r="D24">
        <v>193680260</v>
      </c>
      <c r="E24">
        <v>7517249</v>
      </c>
      <c r="F24">
        <v>212457200</v>
      </c>
      <c r="G24" s="8">
        <v>1824790.6</v>
      </c>
      <c r="H24" s="8">
        <v>2924431.8</v>
      </c>
      <c r="I24" s="8">
        <v>16132912</v>
      </c>
      <c r="J24" s="8">
        <v>0</v>
      </c>
      <c r="K24" s="8">
        <v>0</v>
      </c>
      <c r="L24" s="8">
        <v>10660691</v>
      </c>
      <c r="M24" s="8">
        <v>35439492</v>
      </c>
      <c r="N24" s="8">
        <v>4488118.5</v>
      </c>
      <c r="O24" s="8">
        <v>0</v>
      </c>
      <c r="P24" s="8">
        <v>7300878.5</v>
      </c>
      <c r="Q24" s="8">
        <v>26081950</v>
      </c>
      <c r="R24" s="8">
        <v>289157.2</v>
      </c>
      <c r="S24" s="8">
        <v>1954022.3999999999</v>
      </c>
      <c r="T24" s="8">
        <v>9228344</v>
      </c>
      <c r="U24" s="8">
        <v>44605904</v>
      </c>
      <c r="V24" s="8">
        <v>51526508</v>
      </c>
      <c r="W24" s="8">
        <v>1975.8</v>
      </c>
      <c r="X24" s="8">
        <v>7693.9</v>
      </c>
      <c r="Y24" s="8">
        <v>14052.5</v>
      </c>
      <c r="Z24" s="8">
        <v>12983.8</v>
      </c>
      <c r="AA24" s="8">
        <v>0</v>
      </c>
      <c r="AB24" s="8">
        <v>1985.8</v>
      </c>
      <c r="AC24" s="8">
        <v>3265.4</v>
      </c>
      <c r="AD24" s="8">
        <v>1420.9</v>
      </c>
      <c r="AE24" s="8">
        <v>1801</v>
      </c>
      <c r="AF24" s="8">
        <v>4987.3999999999996</v>
      </c>
      <c r="AG24" s="8">
        <v>13439.3</v>
      </c>
      <c r="AH24" s="8">
        <v>13118.4</v>
      </c>
      <c r="AI24" s="8">
        <v>7903</v>
      </c>
    </row>
    <row r="25" spans="1:35" hidden="1">
      <c r="A25" t="s">
        <v>34</v>
      </c>
      <c r="B25" t="s">
        <v>38</v>
      </c>
      <c r="C25">
        <v>2050</v>
      </c>
      <c r="D25">
        <v>208983650</v>
      </c>
      <c r="E25">
        <v>11207097</v>
      </c>
      <c r="F25">
        <v>229832670</v>
      </c>
      <c r="G25" s="8">
        <v>554599.19999999995</v>
      </c>
      <c r="H25" s="8">
        <v>2924431.8</v>
      </c>
      <c r="I25" s="8">
        <v>16539392</v>
      </c>
      <c r="J25" s="8">
        <v>0</v>
      </c>
      <c r="K25" s="8">
        <v>0</v>
      </c>
      <c r="L25" s="8">
        <v>10814105</v>
      </c>
      <c r="M25" s="8">
        <v>32445356</v>
      </c>
      <c r="N25" s="8">
        <v>4712205</v>
      </c>
      <c r="O25" s="8">
        <v>0</v>
      </c>
      <c r="P25" s="8">
        <v>7309517.5</v>
      </c>
      <c r="Q25" s="8">
        <v>26081950</v>
      </c>
      <c r="R25" s="8">
        <v>230861.5</v>
      </c>
      <c r="S25" s="8">
        <v>2147368.7999999998</v>
      </c>
      <c r="T25" s="8">
        <v>14830043</v>
      </c>
      <c r="U25" s="8">
        <v>50361908</v>
      </c>
      <c r="V25" s="8">
        <v>60880940</v>
      </c>
      <c r="W25" s="8">
        <v>474.3</v>
      </c>
      <c r="X25" s="8">
        <v>7818.2</v>
      </c>
      <c r="Y25" s="8">
        <v>12711.2</v>
      </c>
      <c r="Z25" s="8">
        <v>15059.5</v>
      </c>
      <c r="AA25" s="8">
        <v>0</v>
      </c>
      <c r="AB25" s="8">
        <v>1985.8</v>
      </c>
      <c r="AC25" s="8">
        <v>3265.4</v>
      </c>
      <c r="AD25" s="8">
        <v>802.3</v>
      </c>
      <c r="AE25" s="8">
        <v>1801</v>
      </c>
      <c r="AF25" s="8">
        <v>8675.2999999999993</v>
      </c>
      <c r="AG25" s="8">
        <v>15842.6</v>
      </c>
      <c r="AH25" s="8">
        <v>14900.1</v>
      </c>
      <c r="AI25" s="8">
        <v>1897.4</v>
      </c>
    </row>
    <row r="26" spans="1:35" hidden="1">
      <c r="A26" t="s">
        <v>34</v>
      </c>
      <c r="B26" t="s">
        <v>39</v>
      </c>
      <c r="C26">
        <v>2025</v>
      </c>
      <c r="D26">
        <v>317955460</v>
      </c>
      <c r="E26">
        <v>1789.2</v>
      </c>
      <c r="F26">
        <v>304215970</v>
      </c>
      <c r="G26" s="8">
        <v>31645.200000000001</v>
      </c>
      <c r="H26" s="8">
        <v>2190484.5</v>
      </c>
      <c r="I26" s="8">
        <v>3057815.5</v>
      </c>
      <c r="J26" s="8">
        <v>133707560</v>
      </c>
      <c r="K26" s="8">
        <v>0</v>
      </c>
      <c r="L26" s="8">
        <v>511664</v>
      </c>
      <c r="M26" s="8">
        <v>45211348</v>
      </c>
      <c r="N26" s="8">
        <v>1773998.4</v>
      </c>
      <c r="O26" s="8">
        <v>0</v>
      </c>
      <c r="P26" s="8">
        <v>1715114.6</v>
      </c>
      <c r="Q26" s="8">
        <v>42109404</v>
      </c>
      <c r="R26" s="8">
        <v>2412240.2000000002</v>
      </c>
      <c r="S26" s="8">
        <v>1592594.4</v>
      </c>
      <c r="T26" s="8">
        <v>15353757</v>
      </c>
      <c r="U26" s="8">
        <v>54548364</v>
      </c>
      <c r="V26" s="8">
        <v>0</v>
      </c>
      <c r="W26" s="8">
        <v>29.1</v>
      </c>
      <c r="X26" s="8">
        <v>351.9</v>
      </c>
      <c r="Y26" s="8">
        <v>11721.7</v>
      </c>
      <c r="Z26" s="8">
        <v>11720.2</v>
      </c>
      <c r="AA26" s="8">
        <v>0</v>
      </c>
      <c r="AB26" s="8">
        <v>489.6</v>
      </c>
      <c r="AC26" s="8">
        <v>5272</v>
      </c>
      <c r="AD26" s="8">
        <v>3817.1</v>
      </c>
      <c r="AE26" s="8">
        <v>2614.8000000000002</v>
      </c>
      <c r="AF26" s="8">
        <v>7262.7</v>
      </c>
      <c r="AG26" s="8">
        <v>0</v>
      </c>
      <c r="AH26" s="8">
        <v>16744.099999999999</v>
      </c>
      <c r="AI26" s="8">
        <v>116.4</v>
      </c>
    </row>
    <row r="27" spans="1:35">
      <c r="A27" t="s">
        <v>34</v>
      </c>
      <c r="B27" t="s">
        <v>39</v>
      </c>
      <c r="C27">
        <v>2030</v>
      </c>
      <c r="D27">
        <v>339330270</v>
      </c>
      <c r="E27">
        <v>512514.3</v>
      </c>
      <c r="F27">
        <v>333602200</v>
      </c>
      <c r="G27" s="8">
        <v>1464991.5</v>
      </c>
      <c r="H27" s="8">
        <v>2190484.5</v>
      </c>
      <c r="I27" s="8">
        <v>5128009.5</v>
      </c>
      <c r="J27" s="8">
        <v>41529268</v>
      </c>
      <c r="K27" s="8">
        <v>0</v>
      </c>
      <c r="L27" s="8">
        <v>720087</v>
      </c>
      <c r="M27" s="8">
        <v>62260052</v>
      </c>
      <c r="N27" s="8">
        <v>2001076.2</v>
      </c>
      <c r="O27" s="8">
        <v>0</v>
      </c>
      <c r="P27" s="8">
        <v>1772308.4</v>
      </c>
      <c r="Q27" s="8">
        <v>42109404</v>
      </c>
      <c r="R27" s="8">
        <v>5107426</v>
      </c>
      <c r="S27" s="8">
        <v>1853423.2</v>
      </c>
      <c r="T27" s="8">
        <v>45313036</v>
      </c>
      <c r="U27" s="8">
        <v>122152640</v>
      </c>
      <c r="V27" s="8">
        <v>0</v>
      </c>
      <c r="W27" s="8">
        <v>1166.2</v>
      </c>
      <c r="X27" s="8">
        <v>490.9</v>
      </c>
      <c r="Y27" s="8">
        <v>14654.1</v>
      </c>
      <c r="Z27" s="8">
        <v>11466.2</v>
      </c>
      <c r="AA27" s="8">
        <v>0</v>
      </c>
      <c r="AB27" s="8">
        <v>510.6</v>
      </c>
      <c r="AC27" s="8">
        <v>5272</v>
      </c>
      <c r="AD27" s="8">
        <v>4416.2</v>
      </c>
      <c r="AE27" s="8">
        <v>2614.8000000000002</v>
      </c>
      <c r="AF27" s="8">
        <v>20959.5</v>
      </c>
      <c r="AG27" s="8">
        <v>0</v>
      </c>
      <c r="AH27" s="8">
        <v>33563.5</v>
      </c>
      <c r="AI27" s="8">
        <v>4665</v>
      </c>
    </row>
    <row r="28" spans="1:35" hidden="1">
      <c r="A28" t="s">
        <v>34</v>
      </c>
      <c r="B28" t="s">
        <v>39</v>
      </c>
      <c r="C28">
        <v>2035</v>
      </c>
      <c r="D28">
        <v>371663940</v>
      </c>
      <c r="E28">
        <v>12374229</v>
      </c>
      <c r="F28">
        <v>448498600</v>
      </c>
      <c r="G28" s="8">
        <v>6495000.5</v>
      </c>
      <c r="H28" s="8">
        <v>1819986.8</v>
      </c>
      <c r="I28" s="8">
        <v>4939595</v>
      </c>
      <c r="J28" s="8">
        <v>0</v>
      </c>
      <c r="K28" s="8">
        <v>0</v>
      </c>
      <c r="L28" s="8">
        <v>989556.6</v>
      </c>
      <c r="M28" s="8">
        <v>55567030</v>
      </c>
      <c r="N28" s="8">
        <v>4445855.5</v>
      </c>
      <c r="O28" s="8">
        <v>0</v>
      </c>
      <c r="P28" s="8">
        <v>1708849</v>
      </c>
      <c r="Q28" s="8">
        <v>42109404</v>
      </c>
      <c r="R28" s="8">
        <v>4074852.8</v>
      </c>
      <c r="S28" s="8">
        <v>2880590.2</v>
      </c>
      <c r="T28" s="8">
        <v>85530770</v>
      </c>
      <c r="U28" s="8">
        <v>237937060</v>
      </c>
      <c r="V28" s="8">
        <v>0</v>
      </c>
      <c r="W28" s="8">
        <v>5014</v>
      </c>
      <c r="X28" s="8">
        <v>678.2</v>
      </c>
      <c r="Y28" s="8">
        <v>18197.400000000001</v>
      </c>
      <c r="Z28" s="8">
        <v>12501.4</v>
      </c>
      <c r="AA28" s="8">
        <v>0</v>
      </c>
      <c r="AB28" s="8">
        <v>510.6</v>
      </c>
      <c r="AC28" s="8">
        <v>5272</v>
      </c>
      <c r="AD28" s="8">
        <v>4285.8999999999996</v>
      </c>
      <c r="AE28" s="8">
        <v>2614.8000000000002</v>
      </c>
      <c r="AF28" s="8">
        <v>40566.5</v>
      </c>
      <c r="AG28" s="8">
        <v>0</v>
      </c>
      <c r="AH28" s="8">
        <v>68682.7</v>
      </c>
      <c r="AI28" s="8">
        <v>20055.900000000001</v>
      </c>
    </row>
    <row r="29" spans="1:35" hidden="1">
      <c r="A29" t="s">
        <v>34</v>
      </c>
      <c r="B29" t="s">
        <v>39</v>
      </c>
      <c r="C29">
        <v>2040</v>
      </c>
      <c r="D29">
        <v>402937660</v>
      </c>
      <c r="E29">
        <v>16965392</v>
      </c>
      <c r="F29">
        <v>501200030</v>
      </c>
      <c r="G29" s="8">
        <v>11462444</v>
      </c>
      <c r="H29" s="8">
        <v>1282286.3999999999</v>
      </c>
      <c r="I29" s="8">
        <v>4157548.8</v>
      </c>
      <c r="J29" s="8">
        <v>0</v>
      </c>
      <c r="K29" s="8">
        <v>0</v>
      </c>
      <c r="L29" s="8">
        <v>1181320.3999999999</v>
      </c>
      <c r="M29" s="8">
        <v>58128090</v>
      </c>
      <c r="N29" s="8">
        <v>3669520.5</v>
      </c>
      <c r="O29" s="8">
        <v>0</v>
      </c>
      <c r="P29" s="8">
        <v>1717244.2</v>
      </c>
      <c r="Q29" s="8">
        <v>42109404</v>
      </c>
      <c r="R29" s="8">
        <v>3173827</v>
      </c>
      <c r="S29" s="8">
        <v>2876303.8</v>
      </c>
      <c r="T29" s="8">
        <v>112340880</v>
      </c>
      <c r="U29" s="8">
        <v>259101150</v>
      </c>
      <c r="V29" s="8">
        <v>0</v>
      </c>
      <c r="W29" s="8">
        <v>9156</v>
      </c>
      <c r="X29" s="8">
        <v>810.1</v>
      </c>
      <c r="Y29" s="8">
        <v>19978.400000000001</v>
      </c>
      <c r="Z29" s="8">
        <v>13843.2</v>
      </c>
      <c r="AA29" s="8">
        <v>0</v>
      </c>
      <c r="AB29" s="8">
        <v>510.6</v>
      </c>
      <c r="AC29" s="8">
        <v>5272</v>
      </c>
      <c r="AD29" s="8">
        <v>4235.6000000000004</v>
      </c>
      <c r="AE29" s="8">
        <v>2614.8000000000002</v>
      </c>
      <c r="AF29" s="8">
        <v>53145</v>
      </c>
      <c r="AG29" s="8">
        <v>0</v>
      </c>
      <c r="AH29" s="8">
        <v>74303.600000000006</v>
      </c>
      <c r="AI29" s="8">
        <v>36624.199999999997</v>
      </c>
    </row>
    <row r="30" spans="1:35" hidden="1">
      <c r="A30" t="s">
        <v>34</v>
      </c>
      <c r="B30" t="s">
        <v>39</v>
      </c>
      <c r="C30">
        <v>2045</v>
      </c>
      <c r="D30">
        <v>432635600</v>
      </c>
      <c r="E30">
        <v>37146468</v>
      </c>
      <c r="F30">
        <v>570737200</v>
      </c>
      <c r="G30" s="8">
        <v>10293650</v>
      </c>
      <c r="H30" s="8">
        <v>1282286.3999999999</v>
      </c>
      <c r="I30" s="8">
        <v>3209946.8</v>
      </c>
      <c r="J30" s="8">
        <v>0</v>
      </c>
      <c r="K30" s="8">
        <v>0</v>
      </c>
      <c r="L30" s="8">
        <v>1715501.2</v>
      </c>
      <c r="M30" s="8">
        <v>50859956</v>
      </c>
      <c r="N30" s="8">
        <v>5964145.5</v>
      </c>
      <c r="O30" s="8">
        <v>0</v>
      </c>
      <c r="P30" s="8">
        <v>1670825.4</v>
      </c>
      <c r="Q30" s="8">
        <v>42109404</v>
      </c>
      <c r="R30" s="8">
        <v>3380420</v>
      </c>
      <c r="S30" s="8">
        <v>3070161.2</v>
      </c>
      <c r="T30" s="8">
        <v>130883690</v>
      </c>
      <c r="U30" s="8">
        <v>316297250</v>
      </c>
      <c r="V30" s="8">
        <v>0</v>
      </c>
      <c r="W30" s="8">
        <v>8066.2</v>
      </c>
      <c r="X30" s="8">
        <v>1179.2</v>
      </c>
      <c r="Y30" s="8">
        <v>16655.3</v>
      </c>
      <c r="Z30" s="8">
        <v>16187</v>
      </c>
      <c r="AA30" s="8">
        <v>0</v>
      </c>
      <c r="AB30" s="8">
        <v>510.6</v>
      </c>
      <c r="AC30" s="8">
        <v>5272</v>
      </c>
      <c r="AD30" s="8">
        <v>4085</v>
      </c>
      <c r="AE30" s="8">
        <v>2614.8000000000002</v>
      </c>
      <c r="AF30" s="8">
        <v>63647.8</v>
      </c>
      <c r="AG30" s="8">
        <v>0</v>
      </c>
      <c r="AH30" s="8">
        <v>93291.4</v>
      </c>
      <c r="AI30" s="8">
        <v>32264.7</v>
      </c>
    </row>
    <row r="31" spans="1:35" hidden="1">
      <c r="A31" t="s">
        <v>34</v>
      </c>
      <c r="B31" t="s">
        <v>39</v>
      </c>
      <c r="C31">
        <v>2050</v>
      </c>
      <c r="D31">
        <v>457002400</v>
      </c>
      <c r="E31">
        <v>47693640</v>
      </c>
      <c r="F31">
        <v>625374200</v>
      </c>
      <c r="G31" s="8">
        <v>12616926</v>
      </c>
      <c r="H31" s="8">
        <v>1282286.3999999999</v>
      </c>
      <c r="I31" s="8">
        <v>2787315.2</v>
      </c>
      <c r="J31" s="8">
        <v>0</v>
      </c>
      <c r="K31" s="8">
        <v>0</v>
      </c>
      <c r="L31" s="8">
        <v>2794504.2</v>
      </c>
      <c r="M31" s="8">
        <v>55157120</v>
      </c>
      <c r="N31" s="8">
        <v>5623608</v>
      </c>
      <c r="O31" s="8">
        <v>0</v>
      </c>
      <c r="P31" s="8">
        <v>1652170.4</v>
      </c>
      <c r="Q31" s="8">
        <v>42109404</v>
      </c>
      <c r="R31" s="8">
        <v>2750206.8</v>
      </c>
      <c r="S31" s="8">
        <v>3170600.8</v>
      </c>
      <c r="T31" s="8">
        <v>153179790</v>
      </c>
      <c r="U31" s="8">
        <v>342250270</v>
      </c>
      <c r="V31" s="8">
        <v>0</v>
      </c>
      <c r="W31" s="8">
        <v>9669.4</v>
      </c>
      <c r="X31" s="8">
        <v>1905.4</v>
      </c>
      <c r="Y31" s="8">
        <v>18060.900000000001</v>
      </c>
      <c r="Z31" s="8">
        <v>16723.3</v>
      </c>
      <c r="AA31" s="8">
        <v>0</v>
      </c>
      <c r="AB31" s="8">
        <v>510.6</v>
      </c>
      <c r="AC31" s="8">
        <v>5272</v>
      </c>
      <c r="AD31" s="8">
        <v>2999.4</v>
      </c>
      <c r="AE31" s="8">
        <v>2614.8000000000002</v>
      </c>
      <c r="AF31" s="8">
        <v>75906.8</v>
      </c>
      <c r="AG31" s="8">
        <v>0</v>
      </c>
      <c r="AH31" s="8">
        <v>100883.1</v>
      </c>
      <c r="AI31" s="8">
        <v>38677.800000000003</v>
      </c>
    </row>
    <row r="32" spans="1:35" hidden="1">
      <c r="A32" t="s">
        <v>34</v>
      </c>
      <c r="B32" t="s">
        <v>40</v>
      </c>
      <c r="C32">
        <v>2025</v>
      </c>
      <c r="D32">
        <v>230686300</v>
      </c>
      <c r="E32">
        <v>10692.5</v>
      </c>
      <c r="F32">
        <v>218206430</v>
      </c>
      <c r="G32" s="8">
        <v>71930.8</v>
      </c>
      <c r="H32" s="8">
        <v>2158853</v>
      </c>
      <c r="I32" s="8">
        <v>8211485.5</v>
      </c>
      <c r="J32" s="8">
        <v>59664716</v>
      </c>
      <c r="K32" s="8">
        <v>0</v>
      </c>
      <c r="L32" s="8">
        <v>1366677.4</v>
      </c>
      <c r="M32" s="8">
        <v>30608538</v>
      </c>
      <c r="N32" s="8">
        <v>2631701.2000000002</v>
      </c>
      <c r="O32" s="8">
        <v>0</v>
      </c>
      <c r="P32" s="8">
        <v>4494981.5</v>
      </c>
      <c r="Q32" s="8">
        <v>22761602</v>
      </c>
      <c r="R32" s="8">
        <v>1275750.8999999999</v>
      </c>
      <c r="S32" s="8">
        <v>0</v>
      </c>
      <c r="T32" s="8">
        <v>7892754.5</v>
      </c>
      <c r="U32" s="8">
        <v>77067430</v>
      </c>
      <c r="V32" s="8">
        <v>0</v>
      </c>
      <c r="W32" s="8">
        <v>69.3</v>
      </c>
      <c r="X32" s="8">
        <v>964.6</v>
      </c>
      <c r="Y32" s="8">
        <v>7633.3</v>
      </c>
      <c r="Z32" s="8">
        <v>7105.3</v>
      </c>
      <c r="AA32" s="8">
        <v>0</v>
      </c>
      <c r="AB32" s="8">
        <v>925.4</v>
      </c>
      <c r="AC32" s="8">
        <v>2849.7</v>
      </c>
      <c r="AD32" s="8">
        <v>2482.6</v>
      </c>
      <c r="AE32" s="8">
        <v>0</v>
      </c>
      <c r="AF32" s="8">
        <v>3911.3</v>
      </c>
      <c r="AG32" s="8">
        <v>0</v>
      </c>
      <c r="AH32" s="8">
        <v>21758.400000000001</v>
      </c>
      <c r="AI32" s="8">
        <v>277</v>
      </c>
    </row>
    <row r="33" spans="1:35">
      <c r="A33" t="s">
        <v>34</v>
      </c>
      <c r="B33" t="s">
        <v>40</v>
      </c>
      <c r="C33">
        <v>2030</v>
      </c>
      <c r="D33">
        <v>256627100</v>
      </c>
      <c r="E33">
        <v>8713459</v>
      </c>
      <c r="F33">
        <v>260680240</v>
      </c>
      <c r="G33" s="8">
        <v>2426602.2000000002</v>
      </c>
      <c r="H33" s="8">
        <v>1436489.4</v>
      </c>
      <c r="I33" s="8">
        <v>13947470</v>
      </c>
      <c r="J33" s="8">
        <v>28498420</v>
      </c>
      <c r="K33" s="8">
        <v>0</v>
      </c>
      <c r="L33" s="8">
        <v>1881938.4</v>
      </c>
      <c r="M33" s="8">
        <v>31486582</v>
      </c>
      <c r="N33" s="8">
        <v>1847482.8</v>
      </c>
      <c r="O33" s="8">
        <v>0</v>
      </c>
      <c r="P33" s="8">
        <v>4625169.5</v>
      </c>
      <c r="Q33" s="8">
        <v>22761602</v>
      </c>
      <c r="R33" s="8">
        <v>904423.4</v>
      </c>
      <c r="S33" s="8">
        <v>0</v>
      </c>
      <c r="T33" s="8">
        <v>25596254</v>
      </c>
      <c r="U33" s="8">
        <v>125267800</v>
      </c>
      <c r="V33" s="8">
        <v>0</v>
      </c>
      <c r="W33" s="8">
        <v>2109.9</v>
      </c>
      <c r="X33" s="8">
        <v>1339.7</v>
      </c>
      <c r="Y33" s="8">
        <v>8922.4</v>
      </c>
      <c r="Z33" s="8">
        <v>6336.1</v>
      </c>
      <c r="AA33" s="8">
        <v>0</v>
      </c>
      <c r="AB33" s="8">
        <v>953.4</v>
      </c>
      <c r="AC33" s="8">
        <v>2849.7</v>
      </c>
      <c r="AD33" s="8">
        <v>1519.4</v>
      </c>
      <c r="AE33" s="8">
        <v>0</v>
      </c>
      <c r="AF33" s="8">
        <v>12785.4</v>
      </c>
      <c r="AG33" s="8">
        <v>0</v>
      </c>
      <c r="AH33" s="8">
        <v>33582.199999999997</v>
      </c>
      <c r="AI33" s="8">
        <v>8439.6</v>
      </c>
    </row>
    <row r="34" spans="1:35" hidden="1">
      <c r="A34" t="s">
        <v>34</v>
      </c>
      <c r="B34" t="s">
        <v>40</v>
      </c>
      <c r="C34">
        <v>2035</v>
      </c>
      <c r="D34">
        <v>290110820</v>
      </c>
      <c r="E34">
        <v>16944746</v>
      </c>
      <c r="F34">
        <v>282656960</v>
      </c>
      <c r="G34" s="8">
        <v>2337018</v>
      </c>
      <c r="H34" s="8">
        <v>1436489.4</v>
      </c>
      <c r="I34" s="8">
        <v>12732902</v>
      </c>
      <c r="J34" s="8">
        <v>0</v>
      </c>
      <c r="K34" s="8">
        <v>0</v>
      </c>
      <c r="L34" s="8">
        <v>2398667.5</v>
      </c>
      <c r="M34" s="8">
        <v>44149030</v>
      </c>
      <c r="N34" s="8">
        <v>4905453</v>
      </c>
      <c r="O34" s="8">
        <v>0</v>
      </c>
      <c r="P34" s="8">
        <v>4553922</v>
      </c>
      <c r="Q34" s="8">
        <v>22761602</v>
      </c>
      <c r="R34" s="8">
        <v>756209.9</v>
      </c>
      <c r="S34" s="8">
        <v>0</v>
      </c>
      <c r="T34" s="8">
        <v>35060356</v>
      </c>
      <c r="U34" s="8">
        <v>151565310</v>
      </c>
      <c r="V34" s="8">
        <v>0</v>
      </c>
      <c r="W34" s="8">
        <v>2109.6999999999998</v>
      </c>
      <c r="X34" s="8">
        <v>1712</v>
      </c>
      <c r="Y34" s="8">
        <v>14988.5</v>
      </c>
      <c r="Z34" s="8">
        <v>13837</v>
      </c>
      <c r="AA34" s="8">
        <v>0</v>
      </c>
      <c r="AB34" s="8">
        <v>953.4</v>
      </c>
      <c r="AC34" s="8">
        <v>2849.7</v>
      </c>
      <c r="AD34" s="8">
        <v>1445</v>
      </c>
      <c r="AE34" s="8">
        <v>0</v>
      </c>
      <c r="AF34" s="8">
        <v>17347.400000000001</v>
      </c>
      <c r="AG34" s="8">
        <v>0</v>
      </c>
      <c r="AH34" s="8">
        <v>42003.1</v>
      </c>
      <c r="AI34" s="8">
        <v>8438.7000000000007</v>
      </c>
    </row>
    <row r="35" spans="1:35" hidden="1">
      <c r="A35" t="s">
        <v>34</v>
      </c>
      <c r="B35" t="s">
        <v>40</v>
      </c>
      <c r="C35">
        <v>2040</v>
      </c>
      <c r="D35">
        <v>315758500</v>
      </c>
      <c r="E35">
        <v>24798276</v>
      </c>
      <c r="F35">
        <v>312292540</v>
      </c>
      <c r="G35" s="8">
        <v>2719255</v>
      </c>
      <c r="H35" s="8">
        <v>1436489.4</v>
      </c>
      <c r="I35" s="8">
        <v>12368035</v>
      </c>
      <c r="J35" s="8">
        <v>0</v>
      </c>
      <c r="K35" s="8">
        <v>0</v>
      </c>
      <c r="L35" s="8">
        <v>3146315</v>
      </c>
      <c r="M35" s="8">
        <v>39947550</v>
      </c>
      <c r="N35" s="8">
        <v>5363340.5</v>
      </c>
      <c r="O35" s="8">
        <v>0</v>
      </c>
      <c r="P35" s="8">
        <v>4490730.5</v>
      </c>
      <c r="Q35" s="8">
        <v>22761602</v>
      </c>
      <c r="R35" s="8">
        <v>651615.19999999995</v>
      </c>
      <c r="S35" s="8">
        <v>0</v>
      </c>
      <c r="T35" s="8">
        <v>36571936</v>
      </c>
      <c r="U35" s="8">
        <v>182835680</v>
      </c>
      <c r="V35" s="8">
        <v>0</v>
      </c>
      <c r="W35" s="8">
        <v>2492.1999999999998</v>
      </c>
      <c r="X35" s="8">
        <v>2248.6</v>
      </c>
      <c r="Y35" s="8">
        <v>14988.5</v>
      </c>
      <c r="Z35" s="8">
        <v>17679.8</v>
      </c>
      <c r="AA35" s="8">
        <v>0</v>
      </c>
      <c r="AB35" s="8">
        <v>953.4</v>
      </c>
      <c r="AC35" s="8">
        <v>2849.7</v>
      </c>
      <c r="AD35" s="8">
        <v>1422.8</v>
      </c>
      <c r="AE35" s="8">
        <v>0</v>
      </c>
      <c r="AF35" s="8">
        <v>18140.5</v>
      </c>
      <c r="AG35" s="8">
        <v>0</v>
      </c>
      <c r="AH35" s="8">
        <v>51162.7</v>
      </c>
      <c r="AI35" s="8">
        <v>9968.7000000000007</v>
      </c>
    </row>
    <row r="36" spans="1:35" hidden="1">
      <c r="A36" t="s">
        <v>34</v>
      </c>
      <c r="B36" t="s">
        <v>40</v>
      </c>
      <c r="C36">
        <v>2045</v>
      </c>
      <c r="D36">
        <v>339224830</v>
      </c>
      <c r="E36">
        <v>22385064</v>
      </c>
      <c r="F36">
        <v>323185660</v>
      </c>
      <c r="G36" s="8">
        <v>831483.5</v>
      </c>
      <c r="H36" s="8">
        <v>1436489.4</v>
      </c>
      <c r="I36" s="8">
        <v>12187371</v>
      </c>
      <c r="J36" s="8">
        <v>0</v>
      </c>
      <c r="K36" s="8">
        <v>0</v>
      </c>
      <c r="L36" s="8">
        <v>4147641.5</v>
      </c>
      <c r="M36" s="8">
        <v>40190690</v>
      </c>
      <c r="N36" s="8">
        <v>10629052</v>
      </c>
      <c r="O36" s="8">
        <v>0</v>
      </c>
      <c r="P36" s="8">
        <v>4504928</v>
      </c>
      <c r="Q36" s="8">
        <v>22761602</v>
      </c>
      <c r="R36" s="8">
        <v>157775.70000000001</v>
      </c>
      <c r="S36" s="8">
        <v>0</v>
      </c>
      <c r="T36" s="8">
        <v>44510676</v>
      </c>
      <c r="U36" s="8">
        <v>181827970</v>
      </c>
      <c r="V36" s="8">
        <v>0</v>
      </c>
      <c r="W36" s="8">
        <v>747.4</v>
      </c>
      <c r="X36" s="8">
        <v>2968.3</v>
      </c>
      <c r="Y36" s="8">
        <v>14829</v>
      </c>
      <c r="Z36" s="8">
        <v>30383.599999999999</v>
      </c>
      <c r="AA36" s="8">
        <v>0</v>
      </c>
      <c r="AB36" s="8">
        <v>953.4</v>
      </c>
      <c r="AC36" s="8">
        <v>2849.7</v>
      </c>
      <c r="AD36" s="8">
        <v>881.9</v>
      </c>
      <c r="AE36" s="8">
        <v>0</v>
      </c>
      <c r="AF36" s="8">
        <v>22051.5</v>
      </c>
      <c r="AG36" s="8">
        <v>0</v>
      </c>
      <c r="AH36" s="8">
        <v>49688.5</v>
      </c>
      <c r="AI36" s="8">
        <v>2989.5</v>
      </c>
    </row>
    <row r="37" spans="1:35" hidden="1">
      <c r="A37" t="s">
        <v>34</v>
      </c>
      <c r="B37" t="s">
        <v>40</v>
      </c>
      <c r="C37">
        <v>2050</v>
      </c>
      <c r="D37">
        <v>358360260</v>
      </c>
      <c r="E37">
        <v>23219432</v>
      </c>
      <c r="F37">
        <v>340780740</v>
      </c>
      <c r="G37" s="8">
        <v>869621.1</v>
      </c>
      <c r="H37" s="8">
        <v>1193419.2</v>
      </c>
      <c r="I37" s="8">
        <v>12062045</v>
      </c>
      <c r="J37" s="8">
        <v>0</v>
      </c>
      <c r="K37" s="8">
        <v>0</v>
      </c>
      <c r="L37" s="8">
        <v>5379517</v>
      </c>
      <c r="M37" s="8">
        <v>44803388</v>
      </c>
      <c r="N37" s="8">
        <v>11468570</v>
      </c>
      <c r="O37" s="8">
        <v>0</v>
      </c>
      <c r="P37" s="8">
        <v>4514838.5</v>
      </c>
      <c r="Q37" s="8">
        <v>18021100</v>
      </c>
      <c r="R37" s="8">
        <v>137253.9</v>
      </c>
      <c r="S37" s="8">
        <v>0</v>
      </c>
      <c r="T37" s="8">
        <v>52926190</v>
      </c>
      <c r="U37" s="8">
        <v>189404800</v>
      </c>
      <c r="V37" s="8">
        <v>0</v>
      </c>
      <c r="W37" s="8">
        <v>747.4</v>
      </c>
      <c r="X37" s="8">
        <v>3859.7</v>
      </c>
      <c r="Y37" s="8">
        <v>16141.7</v>
      </c>
      <c r="Z37" s="8">
        <v>34516.300000000003</v>
      </c>
      <c r="AA37" s="8">
        <v>0</v>
      </c>
      <c r="AB37" s="8">
        <v>953.4</v>
      </c>
      <c r="AC37" s="8">
        <v>2256.1999999999998</v>
      </c>
      <c r="AD37" s="8">
        <v>642.1</v>
      </c>
      <c r="AE37" s="8">
        <v>0</v>
      </c>
      <c r="AF37" s="8">
        <v>26153.599999999999</v>
      </c>
      <c r="AG37" s="8">
        <v>0</v>
      </c>
      <c r="AH37" s="8">
        <v>51209.5</v>
      </c>
      <c r="AI37" s="8">
        <v>2989.5</v>
      </c>
    </row>
    <row r="38" spans="1:35" hidden="1">
      <c r="A38" t="s">
        <v>34</v>
      </c>
      <c r="B38" t="s">
        <v>41</v>
      </c>
      <c r="C38">
        <v>2025</v>
      </c>
      <c r="D38">
        <v>216510820</v>
      </c>
      <c r="E38">
        <v>0</v>
      </c>
      <c r="F38">
        <v>210365000</v>
      </c>
      <c r="G38" s="8">
        <v>200721.6</v>
      </c>
      <c r="H38" s="8">
        <v>1198375.8</v>
      </c>
      <c r="I38" s="8">
        <v>0</v>
      </c>
      <c r="J38" s="8">
        <v>28371190</v>
      </c>
      <c r="K38" s="8">
        <v>0</v>
      </c>
      <c r="L38" s="8">
        <v>693538.9</v>
      </c>
      <c r="M38" s="8">
        <v>108510540</v>
      </c>
      <c r="N38" s="8">
        <v>670188.19999999995</v>
      </c>
      <c r="O38" s="8">
        <v>0</v>
      </c>
      <c r="P38" s="8">
        <v>3647090.5</v>
      </c>
      <c r="Q38" s="8">
        <v>42746000</v>
      </c>
      <c r="R38" s="8">
        <v>7325145</v>
      </c>
      <c r="S38" s="8">
        <v>11690.4</v>
      </c>
      <c r="T38" s="8">
        <v>9318553</v>
      </c>
      <c r="U38" s="8">
        <v>7671961</v>
      </c>
      <c r="V38" s="8">
        <v>0</v>
      </c>
      <c r="W38" s="8">
        <v>213.9</v>
      </c>
      <c r="X38" s="8">
        <v>454.7</v>
      </c>
      <c r="Y38" s="8">
        <v>19218.3</v>
      </c>
      <c r="Z38" s="8">
        <v>3385.5</v>
      </c>
      <c r="AA38" s="8">
        <v>0</v>
      </c>
      <c r="AB38" s="8">
        <v>1245.2</v>
      </c>
      <c r="AC38" s="8">
        <v>5351.7</v>
      </c>
      <c r="AD38" s="8">
        <v>9226.2999999999993</v>
      </c>
      <c r="AE38" s="8">
        <v>30</v>
      </c>
      <c r="AF38" s="8">
        <v>4149.8</v>
      </c>
      <c r="AG38" s="8">
        <v>0</v>
      </c>
      <c r="AH38" s="8">
        <v>2999.2</v>
      </c>
      <c r="AI38" s="8">
        <v>855.7</v>
      </c>
    </row>
    <row r="39" spans="1:35">
      <c r="A39" t="s">
        <v>34</v>
      </c>
      <c r="B39" t="s">
        <v>41</v>
      </c>
      <c r="C39">
        <v>2030</v>
      </c>
      <c r="D39">
        <v>230936060</v>
      </c>
      <c r="E39">
        <v>208351.4</v>
      </c>
      <c r="F39">
        <v>220820320</v>
      </c>
      <c r="G39" s="8">
        <v>309845.2</v>
      </c>
      <c r="H39" s="8">
        <v>1116615.8999999999</v>
      </c>
      <c r="I39" s="8">
        <v>0</v>
      </c>
      <c r="J39" s="8">
        <v>3279896.2</v>
      </c>
      <c r="K39" s="8">
        <v>0</v>
      </c>
      <c r="L39" s="8">
        <v>1293057.1000000001</v>
      </c>
      <c r="M39" s="8">
        <v>97454380</v>
      </c>
      <c r="N39" s="8">
        <v>403849.4</v>
      </c>
      <c r="O39" s="8">
        <v>0</v>
      </c>
      <c r="P39" s="8">
        <v>3674063.5</v>
      </c>
      <c r="Q39" s="8">
        <v>42746000</v>
      </c>
      <c r="R39" s="8">
        <v>3009302.5</v>
      </c>
      <c r="S39" s="8">
        <v>43853.8</v>
      </c>
      <c r="T39" s="8">
        <v>54928264</v>
      </c>
      <c r="U39" s="8">
        <v>12561217</v>
      </c>
      <c r="V39" s="8">
        <v>0</v>
      </c>
      <c r="W39" s="8">
        <v>213.9</v>
      </c>
      <c r="X39" s="8">
        <v>847.7</v>
      </c>
      <c r="Y39" s="8">
        <v>24161.3</v>
      </c>
      <c r="Z39" s="8">
        <v>3320.7</v>
      </c>
      <c r="AA39" s="8">
        <v>0</v>
      </c>
      <c r="AB39" s="8">
        <v>1257.2</v>
      </c>
      <c r="AC39" s="8">
        <v>5351.7</v>
      </c>
      <c r="AD39" s="8">
        <v>7050.8</v>
      </c>
      <c r="AE39" s="8">
        <v>30</v>
      </c>
      <c r="AF39" s="8">
        <v>24513.3</v>
      </c>
      <c r="AG39" s="8">
        <v>0</v>
      </c>
      <c r="AH39" s="8">
        <v>4180.2</v>
      </c>
      <c r="AI39" s="8">
        <v>855.7</v>
      </c>
    </row>
    <row r="40" spans="1:35" hidden="1">
      <c r="A40" t="s">
        <v>34</v>
      </c>
      <c r="B40" t="s">
        <v>41</v>
      </c>
      <c r="C40">
        <v>2035</v>
      </c>
      <c r="D40">
        <v>257431760</v>
      </c>
      <c r="E40">
        <v>2983998.2</v>
      </c>
      <c r="F40">
        <v>225375440</v>
      </c>
      <c r="G40" s="8">
        <v>4865317.5</v>
      </c>
      <c r="H40" s="8">
        <v>1116615.8999999999</v>
      </c>
      <c r="I40" s="8">
        <v>0</v>
      </c>
      <c r="J40" s="8">
        <v>0</v>
      </c>
      <c r="K40" s="8">
        <v>0</v>
      </c>
      <c r="L40" s="8">
        <v>1838129.8</v>
      </c>
      <c r="M40" s="8">
        <v>65811252</v>
      </c>
      <c r="N40" s="8">
        <v>343888.6</v>
      </c>
      <c r="O40" s="8">
        <v>0</v>
      </c>
      <c r="P40" s="8">
        <v>3674063.5</v>
      </c>
      <c r="Q40" s="8">
        <v>42746000</v>
      </c>
      <c r="R40" s="8">
        <v>1047246.7</v>
      </c>
      <c r="S40" s="8">
        <v>58575.4</v>
      </c>
      <c r="T40" s="8">
        <v>84573890</v>
      </c>
      <c r="U40" s="8">
        <v>19300476</v>
      </c>
      <c r="V40" s="8">
        <v>0</v>
      </c>
      <c r="W40" s="8">
        <v>3442.3</v>
      </c>
      <c r="X40" s="8">
        <v>1211.4000000000001</v>
      </c>
      <c r="Y40" s="8">
        <v>24161.3</v>
      </c>
      <c r="Z40" s="8">
        <v>3320.7</v>
      </c>
      <c r="AA40" s="8">
        <v>0</v>
      </c>
      <c r="AB40" s="8">
        <v>1257.2</v>
      </c>
      <c r="AC40" s="8">
        <v>5351.7</v>
      </c>
      <c r="AD40" s="8">
        <v>4156.2</v>
      </c>
      <c r="AE40" s="8">
        <v>30</v>
      </c>
      <c r="AF40" s="8">
        <v>38803.300000000003</v>
      </c>
      <c r="AG40" s="8">
        <v>0</v>
      </c>
      <c r="AH40" s="8">
        <v>6333.4</v>
      </c>
      <c r="AI40" s="8">
        <v>13769.2</v>
      </c>
    </row>
    <row r="41" spans="1:35" hidden="1">
      <c r="A41" t="s">
        <v>34</v>
      </c>
      <c r="B41" t="s">
        <v>41</v>
      </c>
      <c r="C41">
        <v>2040</v>
      </c>
      <c r="D41">
        <v>281819840</v>
      </c>
      <c r="E41">
        <v>5954043.5</v>
      </c>
      <c r="F41">
        <v>258686750</v>
      </c>
      <c r="G41" s="8">
        <v>9919842</v>
      </c>
      <c r="H41" s="8">
        <v>1116615.8999999999</v>
      </c>
      <c r="I41" s="8">
        <v>0</v>
      </c>
      <c r="J41" s="8">
        <v>0</v>
      </c>
      <c r="K41" s="8">
        <v>0</v>
      </c>
      <c r="L41" s="8">
        <v>2019957.8</v>
      </c>
      <c r="M41" s="8">
        <v>58285364</v>
      </c>
      <c r="N41" s="8">
        <v>245143.2</v>
      </c>
      <c r="O41" s="8">
        <v>0</v>
      </c>
      <c r="P41" s="8">
        <v>3674063.5</v>
      </c>
      <c r="Q41" s="8">
        <v>42746000</v>
      </c>
      <c r="R41" s="8">
        <v>723428.5</v>
      </c>
      <c r="S41" s="8">
        <v>59719.1</v>
      </c>
      <c r="T41" s="8">
        <v>100175330</v>
      </c>
      <c r="U41" s="8">
        <v>39721268</v>
      </c>
      <c r="V41" s="8">
        <v>0</v>
      </c>
      <c r="W41" s="8">
        <v>7104.2</v>
      </c>
      <c r="X41" s="8">
        <v>1339.8</v>
      </c>
      <c r="Y41" s="8">
        <v>24161.3</v>
      </c>
      <c r="Z41" s="8">
        <v>3322.2</v>
      </c>
      <c r="AA41" s="8">
        <v>0</v>
      </c>
      <c r="AB41" s="8">
        <v>1257.2</v>
      </c>
      <c r="AC41" s="8">
        <v>5351.7</v>
      </c>
      <c r="AD41" s="8">
        <v>4156.2</v>
      </c>
      <c r="AE41" s="8">
        <v>30</v>
      </c>
      <c r="AF41" s="8">
        <v>46560</v>
      </c>
      <c r="AG41" s="8">
        <v>0</v>
      </c>
      <c r="AH41" s="8">
        <v>13100.9</v>
      </c>
      <c r="AI41" s="8">
        <v>28416.6</v>
      </c>
    </row>
    <row r="42" spans="1:35" hidden="1">
      <c r="A42" t="s">
        <v>34</v>
      </c>
      <c r="B42" t="s">
        <v>41</v>
      </c>
      <c r="C42">
        <v>2045</v>
      </c>
      <c r="D42">
        <v>301643940</v>
      </c>
      <c r="E42">
        <v>7462254.5</v>
      </c>
      <c r="F42">
        <v>280223300</v>
      </c>
      <c r="G42" s="8">
        <v>20094362</v>
      </c>
      <c r="H42" s="8">
        <v>1116615.8999999999</v>
      </c>
      <c r="I42" s="8">
        <v>0</v>
      </c>
      <c r="J42" s="8">
        <v>0</v>
      </c>
      <c r="K42" s="8">
        <v>0</v>
      </c>
      <c r="L42" s="8">
        <v>2354929.5</v>
      </c>
      <c r="M42" s="8">
        <v>49726350</v>
      </c>
      <c r="N42" s="8">
        <v>195508.9</v>
      </c>
      <c r="O42" s="8">
        <v>0</v>
      </c>
      <c r="P42" s="8">
        <v>3674063.5</v>
      </c>
      <c r="Q42" s="8">
        <v>42746000</v>
      </c>
      <c r="R42" s="8">
        <v>436679.7</v>
      </c>
      <c r="S42" s="8">
        <v>57794.8</v>
      </c>
      <c r="T42" s="8">
        <v>115652480</v>
      </c>
      <c r="U42" s="8">
        <v>44168510</v>
      </c>
      <c r="V42" s="8">
        <v>0</v>
      </c>
      <c r="W42" s="8">
        <v>14668.6</v>
      </c>
      <c r="X42" s="8">
        <v>1569.8</v>
      </c>
      <c r="Y42" s="8">
        <v>24161.3</v>
      </c>
      <c r="Z42" s="8">
        <v>3323.4</v>
      </c>
      <c r="AA42" s="8">
        <v>0</v>
      </c>
      <c r="AB42" s="8">
        <v>1257.2</v>
      </c>
      <c r="AC42" s="8">
        <v>5351.7</v>
      </c>
      <c r="AD42" s="8">
        <v>3113.4</v>
      </c>
      <c r="AE42" s="8">
        <v>30</v>
      </c>
      <c r="AF42" s="8">
        <v>53469.5</v>
      </c>
      <c r="AG42" s="8">
        <v>0</v>
      </c>
      <c r="AH42" s="8">
        <v>14482.6</v>
      </c>
      <c r="AI42" s="8">
        <v>58674.400000000001</v>
      </c>
    </row>
    <row r="43" spans="1:35" hidden="1">
      <c r="A43" t="s">
        <v>34</v>
      </c>
      <c r="B43" t="s">
        <v>41</v>
      </c>
      <c r="C43">
        <v>2050</v>
      </c>
      <c r="D43">
        <v>317827680</v>
      </c>
      <c r="E43">
        <v>9562977</v>
      </c>
      <c r="F43">
        <v>294610400</v>
      </c>
      <c r="G43" s="8">
        <v>22653154</v>
      </c>
      <c r="H43" s="8">
        <v>1116615.8999999999</v>
      </c>
      <c r="I43" s="8">
        <v>0</v>
      </c>
      <c r="J43" s="8">
        <v>0</v>
      </c>
      <c r="K43" s="8">
        <v>0</v>
      </c>
      <c r="L43" s="8">
        <v>2880665.8</v>
      </c>
      <c r="M43" s="8">
        <v>47850870</v>
      </c>
      <c r="N43" s="8">
        <v>128123.5</v>
      </c>
      <c r="O43" s="8">
        <v>0</v>
      </c>
      <c r="P43" s="8">
        <v>3674063.5</v>
      </c>
      <c r="Q43" s="8">
        <v>42746000</v>
      </c>
      <c r="R43" s="8">
        <v>128903.3</v>
      </c>
      <c r="S43" s="8">
        <v>59763.6</v>
      </c>
      <c r="T43" s="8">
        <v>124500670</v>
      </c>
      <c r="U43" s="8">
        <v>48871564</v>
      </c>
      <c r="V43" s="8">
        <v>0</v>
      </c>
      <c r="W43" s="8">
        <v>16645.099999999999</v>
      </c>
      <c r="X43" s="8">
        <v>1915.3</v>
      </c>
      <c r="Y43" s="8">
        <v>26980.799999999999</v>
      </c>
      <c r="Z43" s="8">
        <v>3257.4</v>
      </c>
      <c r="AA43" s="8">
        <v>0</v>
      </c>
      <c r="AB43" s="8">
        <v>1257.2</v>
      </c>
      <c r="AC43" s="8">
        <v>5351.7</v>
      </c>
      <c r="AD43" s="8">
        <v>1093.5</v>
      </c>
      <c r="AE43" s="8">
        <v>30</v>
      </c>
      <c r="AF43" s="8">
        <v>57948</v>
      </c>
      <c r="AG43" s="8">
        <v>0</v>
      </c>
      <c r="AH43" s="8">
        <v>15904.1</v>
      </c>
      <c r="AI43" s="8">
        <v>66580.5</v>
      </c>
    </row>
    <row r="44" spans="1:35" hidden="1">
      <c r="A44" t="s">
        <v>34</v>
      </c>
      <c r="B44" t="s">
        <v>42</v>
      </c>
      <c r="C44">
        <v>2025</v>
      </c>
      <c r="D44">
        <v>158741890</v>
      </c>
      <c r="E44">
        <v>0</v>
      </c>
      <c r="F44">
        <v>158020300</v>
      </c>
      <c r="G44" s="8">
        <v>1046223</v>
      </c>
      <c r="H44" s="8">
        <v>1989598.8</v>
      </c>
      <c r="I44" s="8">
        <v>10789661</v>
      </c>
      <c r="J44" s="8">
        <v>0</v>
      </c>
      <c r="K44" s="8">
        <v>0</v>
      </c>
      <c r="L44" s="8">
        <v>3560240.8</v>
      </c>
      <c r="M44" s="8">
        <v>49446290</v>
      </c>
      <c r="N44" s="8">
        <v>800212.9</v>
      </c>
      <c r="O44" s="8">
        <v>0</v>
      </c>
      <c r="P44" s="8">
        <v>26503520</v>
      </c>
      <c r="Q44" s="8">
        <v>26688192</v>
      </c>
      <c r="R44" s="8">
        <v>10514366</v>
      </c>
      <c r="S44" s="8">
        <v>476045</v>
      </c>
      <c r="T44" s="8">
        <v>7497981</v>
      </c>
      <c r="U44" s="8">
        <v>18282764</v>
      </c>
      <c r="V44" s="8">
        <v>425212.4</v>
      </c>
      <c r="W44" s="8">
        <v>1750</v>
      </c>
      <c r="X44" s="8">
        <v>2561.9</v>
      </c>
      <c r="Y44" s="8">
        <v>9588.7000000000007</v>
      </c>
      <c r="Z44" s="8">
        <v>2662.1</v>
      </c>
      <c r="AA44" s="8">
        <v>0</v>
      </c>
      <c r="AB44" s="8">
        <v>4553.7</v>
      </c>
      <c r="AC44" s="8">
        <v>3341.3</v>
      </c>
      <c r="AD44" s="8">
        <v>12192.8</v>
      </c>
      <c r="AE44" s="8">
        <v>1426.8</v>
      </c>
      <c r="AF44" s="8">
        <v>4151.2</v>
      </c>
      <c r="AG44" s="8">
        <v>132</v>
      </c>
      <c r="AH44" s="8">
        <v>5486.9</v>
      </c>
      <c r="AI44" s="8">
        <v>7000</v>
      </c>
    </row>
    <row r="45" spans="1:35">
      <c r="A45" t="s">
        <v>34</v>
      </c>
      <c r="B45" t="s">
        <v>42</v>
      </c>
      <c r="C45">
        <v>2030</v>
      </c>
      <c r="D45">
        <v>170300000</v>
      </c>
      <c r="E45">
        <v>234254.1</v>
      </c>
      <c r="F45">
        <v>177968740</v>
      </c>
      <c r="G45" s="8">
        <v>2612276</v>
      </c>
      <c r="H45" s="8">
        <v>1989598.8</v>
      </c>
      <c r="I45" s="8">
        <v>13370289</v>
      </c>
      <c r="J45" s="8">
        <v>0</v>
      </c>
      <c r="K45" s="8">
        <v>0</v>
      </c>
      <c r="L45" s="8">
        <v>4105078.5</v>
      </c>
      <c r="M45" s="8">
        <v>30838090</v>
      </c>
      <c r="N45" s="8">
        <v>220207.1</v>
      </c>
      <c r="O45" s="8">
        <v>0</v>
      </c>
      <c r="P45" s="8">
        <v>27691004</v>
      </c>
      <c r="Q45" s="8">
        <v>26688192</v>
      </c>
      <c r="R45" s="8">
        <v>4948010.5</v>
      </c>
      <c r="S45" s="8">
        <v>1107873.1000000001</v>
      </c>
      <c r="T45" s="8">
        <v>21070394</v>
      </c>
      <c r="U45" s="8">
        <v>29300196</v>
      </c>
      <c r="V45" s="8">
        <v>14027528</v>
      </c>
      <c r="W45" s="8">
        <v>3000</v>
      </c>
      <c r="X45" s="8">
        <v>2959.8</v>
      </c>
      <c r="Y45" s="8">
        <v>9099.4</v>
      </c>
      <c r="Z45" s="8">
        <v>533.29999999999995</v>
      </c>
      <c r="AA45" s="8">
        <v>0</v>
      </c>
      <c r="AB45" s="8">
        <v>4745.1000000000004</v>
      </c>
      <c r="AC45" s="8">
        <v>3341.3</v>
      </c>
      <c r="AD45" s="8">
        <v>7437.5</v>
      </c>
      <c r="AE45" s="8">
        <v>1426.8</v>
      </c>
      <c r="AF45" s="8">
        <v>11597.5</v>
      </c>
      <c r="AG45" s="8">
        <v>3801</v>
      </c>
      <c r="AH45" s="8">
        <v>7923.5</v>
      </c>
      <c r="AI45" s="8">
        <v>12000</v>
      </c>
    </row>
    <row r="46" spans="1:35" hidden="1">
      <c r="A46" t="s">
        <v>34</v>
      </c>
      <c r="B46" t="s">
        <v>42</v>
      </c>
      <c r="C46">
        <v>2035</v>
      </c>
      <c r="D46">
        <v>186261310</v>
      </c>
      <c r="E46">
        <v>2849502.5</v>
      </c>
      <c r="F46">
        <v>195294400</v>
      </c>
      <c r="G46" s="8">
        <v>4038136.5</v>
      </c>
      <c r="H46" s="8">
        <v>1584482.1</v>
      </c>
      <c r="I46" s="8">
        <v>13112242</v>
      </c>
      <c r="J46" s="8">
        <v>0</v>
      </c>
      <c r="K46" s="8">
        <v>0</v>
      </c>
      <c r="L46" s="8">
        <v>4308429</v>
      </c>
      <c r="M46" s="8">
        <v>29212166</v>
      </c>
      <c r="N46" s="8">
        <v>59979.8</v>
      </c>
      <c r="O46" s="8">
        <v>0</v>
      </c>
      <c r="P46" s="8">
        <v>27528934</v>
      </c>
      <c r="Q46" s="8">
        <v>26688192</v>
      </c>
      <c r="R46" s="8">
        <v>6585953</v>
      </c>
      <c r="S46" s="8">
        <v>1094416.5</v>
      </c>
      <c r="T46" s="8">
        <v>21199458</v>
      </c>
      <c r="U46" s="8">
        <v>29382108</v>
      </c>
      <c r="V46" s="8">
        <v>30499898</v>
      </c>
      <c r="W46" s="8">
        <v>4593.1000000000004</v>
      </c>
      <c r="X46" s="8">
        <v>3139.9</v>
      </c>
      <c r="Y46" s="8">
        <v>9099.4</v>
      </c>
      <c r="Z46" s="8">
        <v>533.29999999999995</v>
      </c>
      <c r="AA46" s="8">
        <v>0</v>
      </c>
      <c r="AB46" s="8">
        <v>4750.8</v>
      </c>
      <c r="AC46" s="8">
        <v>3341.3</v>
      </c>
      <c r="AD46" s="8">
        <v>6959.8</v>
      </c>
      <c r="AE46" s="8">
        <v>1426.8</v>
      </c>
      <c r="AF46" s="8">
        <v>11597.5</v>
      </c>
      <c r="AG46" s="8">
        <v>9000</v>
      </c>
      <c r="AH46" s="8">
        <v>7923.5</v>
      </c>
      <c r="AI46" s="8">
        <v>18372.2</v>
      </c>
    </row>
    <row r="47" spans="1:35" hidden="1">
      <c r="A47" t="s">
        <v>34</v>
      </c>
      <c r="B47" t="s">
        <v>42</v>
      </c>
      <c r="C47">
        <v>2040</v>
      </c>
      <c r="D47">
        <v>203176670</v>
      </c>
      <c r="E47">
        <v>3200864</v>
      </c>
      <c r="F47">
        <v>210769040</v>
      </c>
      <c r="G47" s="8">
        <v>9837644</v>
      </c>
      <c r="H47" s="8">
        <v>1584482.1</v>
      </c>
      <c r="I47" s="8">
        <v>12235850</v>
      </c>
      <c r="J47" s="8">
        <v>0</v>
      </c>
      <c r="K47" s="8">
        <v>0</v>
      </c>
      <c r="L47" s="8">
        <v>5142836.5</v>
      </c>
      <c r="M47" s="8">
        <v>0</v>
      </c>
      <c r="N47" s="8">
        <v>0</v>
      </c>
      <c r="O47" s="8">
        <v>0</v>
      </c>
      <c r="P47" s="8">
        <v>27245340</v>
      </c>
      <c r="Q47" s="8">
        <v>26688192</v>
      </c>
      <c r="R47" s="8">
        <v>0</v>
      </c>
      <c r="S47" s="8">
        <v>1035104.3</v>
      </c>
      <c r="T47" s="8">
        <v>39445690</v>
      </c>
      <c r="U47" s="8">
        <v>55335170</v>
      </c>
      <c r="V47" s="8">
        <v>32218740</v>
      </c>
      <c r="W47" s="8">
        <v>11645.9</v>
      </c>
      <c r="X47" s="8">
        <v>3720.3</v>
      </c>
      <c r="Y47" s="8">
        <v>0</v>
      </c>
      <c r="Z47" s="8">
        <v>0</v>
      </c>
      <c r="AA47" s="8">
        <v>0</v>
      </c>
      <c r="AB47" s="8">
        <v>4763.2</v>
      </c>
      <c r="AC47" s="8">
        <v>3341.3</v>
      </c>
      <c r="AD47" s="8">
        <v>0</v>
      </c>
      <c r="AE47" s="8">
        <v>1426.8</v>
      </c>
      <c r="AF47" s="8">
        <v>22316.6</v>
      </c>
      <c r="AG47" s="8">
        <v>9000</v>
      </c>
      <c r="AH47" s="8">
        <v>15772</v>
      </c>
      <c r="AI47" s="8">
        <v>46583.5</v>
      </c>
    </row>
    <row r="48" spans="1:35" hidden="1">
      <c r="A48" t="s">
        <v>34</v>
      </c>
      <c r="B48" t="s">
        <v>42</v>
      </c>
      <c r="C48">
        <v>2045</v>
      </c>
      <c r="D48">
        <v>221359070</v>
      </c>
      <c r="E48">
        <v>4452884.5</v>
      </c>
      <c r="F48">
        <v>234267940</v>
      </c>
      <c r="G48" s="8">
        <v>11220067</v>
      </c>
      <c r="H48" s="8">
        <v>1584482.1</v>
      </c>
      <c r="I48" s="8">
        <v>11424325</v>
      </c>
      <c r="J48" s="8">
        <v>0</v>
      </c>
      <c r="K48" s="8">
        <v>0</v>
      </c>
      <c r="L48" s="8">
        <v>6489387</v>
      </c>
      <c r="M48" s="8">
        <v>0</v>
      </c>
      <c r="N48" s="8">
        <v>0</v>
      </c>
      <c r="O48" s="8">
        <v>0</v>
      </c>
      <c r="P48" s="8">
        <v>27124284</v>
      </c>
      <c r="Q48" s="8">
        <v>26688192</v>
      </c>
      <c r="R48" s="8">
        <v>0</v>
      </c>
      <c r="S48" s="8">
        <v>1134246</v>
      </c>
      <c r="T48" s="8">
        <v>44278130</v>
      </c>
      <c r="U48" s="8">
        <v>68687450</v>
      </c>
      <c r="V48" s="8">
        <v>35637370</v>
      </c>
      <c r="W48" s="8">
        <v>12964.4</v>
      </c>
      <c r="X48" s="8">
        <v>4705</v>
      </c>
      <c r="Y48" s="8">
        <v>0</v>
      </c>
      <c r="Z48" s="8">
        <v>0</v>
      </c>
      <c r="AA48" s="8">
        <v>0</v>
      </c>
      <c r="AB48" s="8">
        <v>4769.5</v>
      </c>
      <c r="AC48" s="8">
        <v>3341.3</v>
      </c>
      <c r="AD48" s="8">
        <v>0</v>
      </c>
      <c r="AE48" s="8">
        <v>1426.8</v>
      </c>
      <c r="AF48" s="8">
        <v>24980</v>
      </c>
      <c r="AG48" s="8">
        <v>9882.6</v>
      </c>
      <c r="AH48" s="8">
        <v>19962.7</v>
      </c>
      <c r="AI48" s="8">
        <v>51857.4</v>
      </c>
    </row>
    <row r="49" spans="1:35" hidden="1">
      <c r="A49" t="s">
        <v>34</v>
      </c>
      <c r="B49" t="s">
        <v>42</v>
      </c>
      <c r="C49">
        <v>2050</v>
      </c>
      <c r="D49">
        <v>238796640</v>
      </c>
      <c r="E49">
        <v>4933130</v>
      </c>
      <c r="F49">
        <v>258313810</v>
      </c>
      <c r="G49" s="8">
        <v>19848310</v>
      </c>
      <c r="H49" s="8">
        <v>1584482.1</v>
      </c>
      <c r="I49" s="8">
        <v>11242321</v>
      </c>
      <c r="J49" s="8">
        <v>0</v>
      </c>
      <c r="K49" s="8">
        <v>0</v>
      </c>
      <c r="L49" s="8">
        <v>7773486.5</v>
      </c>
      <c r="M49" s="8">
        <v>0</v>
      </c>
      <c r="N49" s="8">
        <v>0</v>
      </c>
      <c r="O49" s="8">
        <v>0</v>
      </c>
      <c r="P49" s="8">
        <v>27068986</v>
      </c>
      <c r="Q49" s="8">
        <v>17086578</v>
      </c>
      <c r="R49" s="8">
        <v>0</v>
      </c>
      <c r="S49" s="8">
        <v>1207078</v>
      </c>
      <c r="T49" s="8">
        <v>63597300</v>
      </c>
      <c r="U49" s="8">
        <v>71811760</v>
      </c>
      <c r="V49" s="8">
        <v>37093516</v>
      </c>
      <c r="W49" s="8">
        <v>21828.799999999999</v>
      </c>
      <c r="X49" s="8">
        <v>5637.9</v>
      </c>
      <c r="Y49" s="8">
        <v>0</v>
      </c>
      <c r="Z49" s="8">
        <v>0</v>
      </c>
      <c r="AA49" s="8">
        <v>0</v>
      </c>
      <c r="AB49" s="8">
        <v>4769.5</v>
      </c>
      <c r="AC49" s="8">
        <v>2139.1999999999998</v>
      </c>
      <c r="AD49" s="8">
        <v>0</v>
      </c>
      <c r="AE49" s="8">
        <v>1426.8</v>
      </c>
      <c r="AF49" s="8">
        <v>35587.800000000003</v>
      </c>
      <c r="AG49" s="8">
        <v>10225.9</v>
      </c>
      <c r="AH49" s="8">
        <v>20689</v>
      </c>
      <c r="AI49" s="8">
        <v>87315.199999999997</v>
      </c>
    </row>
    <row r="50" spans="1:35" hidden="1">
      <c r="A50" t="s">
        <v>34</v>
      </c>
      <c r="B50" t="s">
        <v>43</v>
      </c>
      <c r="C50">
        <v>2025</v>
      </c>
      <c r="D50">
        <v>54637384</v>
      </c>
      <c r="E50">
        <v>412.9</v>
      </c>
      <c r="F50">
        <v>50512484</v>
      </c>
      <c r="G50" s="8">
        <v>53127.5</v>
      </c>
      <c r="H50" s="8">
        <v>319198.3</v>
      </c>
      <c r="I50" s="8">
        <v>126032.4</v>
      </c>
      <c r="J50" s="8">
        <v>11471448</v>
      </c>
      <c r="K50" s="8">
        <v>0</v>
      </c>
      <c r="L50" s="8">
        <v>1195637.5</v>
      </c>
      <c r="M50" s="8">
        <v>1821135.6</v>
      </c>
      <c r="N50" s="8">
        <v>0</v>
      </c>
      <c r="O50" s="8">
        <v>74468.399999999994</v>
      </c>
      <c r="P50" s="8">
        <v>21720162</v>
      </c>
      <c r="Q50" s="8">
        <v>0</v>
      </c>
      <c r="R50" s="8">
        <v>0</v>
      </c>
      <c r="S50" s="8">
        <v>0</v>
      </c>
      <c r="T50" s="8">
        <v>1715400.6</v>
      </c>
      <c r="U50" s="8">
        <v>12015876</v>
      </c>
      <c r="V50" s="8">
        <v>0</v>
      </c>
      <c r="W50" s="8">
        <v>231</v>
      </c>
      <c r="X50" s="8">
        <v>797.7</v>
      </c>
      <c r="Y50" s="8">
        <v>549.29999999999995</v>
      </c>
      <c r="Z50" s="8">
        <v>789.1</v>
      </c>
      <c r="AA50" s="8">
        <v>10</v>
      </c>
      <c r="AB50" s="8">
        <v>5581.2</v>
      </c>
      <c r="AC50" s="8">
        <v>0</v>
      </c>
      <c r="AD50" s="8">
        <v>309.10000000000002</v>
      </c>
      <c r="AE50" s="8">
        <v>0</v>
      </c>
      <c r="AF50" s="8">
        <v>829</v>
      </c>
      <c r="AG50" s="8">
        <v>0</v>
      </c>
      <c r="AH50" s="8">
        <v>3416.2</v>
      </c>
      <c r="AI50" s="8">
        <v>924</v>
      </c>
    </row>
    <row r="51" spans="1:35">
      <c r="A51" t="s">
        <v>34</v>
      </c>
      <c r="B51" t="s">
        <v>43</v>
      </c>
      <c r="C51">
        <v>2030</v>
      </c>
      <c r="D51">
        <v>60358284</v>
      </c>
      <c r="E51">
        <v>177024.8</v>
      </c>
      <c r="F51">
        <v>63064510</v>
      </c>
      <c r="G51" s="8">
        <v>128248.6</v>
      </c>
      <c r="H51" s="8">
        <v>233755.5</v>
      </c>
      <c r="I51" s="8">
        <v>123864</v>
      </c>
      <c r="J51" s="8">
        <v>4024102.8</v>
      </c>
      <c r="K51" s="8">
        <v>0</v>
      </c>
      <c r="L51" s="8">
        <v>1338041.3999999999</v>
      </c>
      <c r="M51" s="8">
        <v>1051858.1000000001</v>
      </c>
      <c r="N51" s="8">
        <v>385.9</v>
      </c>
      <c r="O51" s="8">
        <v>74255.899999999994</v>
      </c>
      <c r="P51" s="8">
        <v>21439828</v>
      </c>
      <c r="Q51" s="8">
        <v>0</v>
      </c>
      <c r="R51" s="8">
        <v>0</v>
      </c>
      <c r="S51" s="8">
        <v>0</v>
      </c>
      <c r="T51" s="8">
        <v>1728497.8</v>
      </c>
      <c r="U51" s="8">
        <v>32921674</v>
      </c>
      <c r="V51" s="8">
        <v>0</v>
      </c>
      <c r="W51" s="8">
        <v>231</v>
      </c>
      <c r="X51" s="8">
        <v>892.7</v>
      </c>
      <c r="Y51" s="8">
        <v>549.29999999999995</v>
      </c>
      <c r="Z51" s="8">
        <v>827.9</v>
      </c>
      <c r="AA51" s="8">
        <v>10</v>
      </c>
      <c r="AB51" s="8">
        <v>5748.2</v>
      </c>
      <c r="AC51" s="8">
        <v>0</v>
      </c>
      <c r="AD51" s="8">
        <v>52</v>
      </c>
      <c r="AE51" s="8">
        <v>0</v>
      </c>
      <c r="AF51" s="8">
        <v>829</v>
      </c>
      <c r="AG51" s="8">
        <v>0</v>
      </c>
      <c r="AH51" s="8">
        <v>8467.1</v>
      </c>
      <c r="AI51" s="8">
        <v>924</v>
      </c>
    </row>
    <row r="52" spans="1:35" hidden="1">
      <c r="A52" t="s">
        <v>34</v>
      </c>
      <c r="B52" t="s">
        <v>43</v>
      </c>
      <c r="C52">
        <v>2035</v>
      </c>
      <c r="D52">
        <v>70286420</v>
      </c>
      <c r="E52">
        <v>1320593.8999999999</v>
      </c>
      <c r="F52">
        <v>74942344</v>
      </c>
      <c r="G52" s="8">
        <v>1277965.2</v>
      </c>
      <c r="H52" s="8">
        <v>233755.5</v>
      </c>
      <c r="I52" s="8">
        <v>119631.2</v>
      </c>
      <c r="J52" s="8">
        <v>0</v>
      </c>
      <c r="K52" s="8">
        <v>0</v>
      </c>
      <c r="L52" s="8">
        <v>1261023</v>
      </c>
      <c r="M52" s="8">
        <v>548241.6</v>
      </c>
      <c r="N52" s="8">
        <v>14111.1</v>
      </c>
      <c r="O52" s="8">
        <v>72275.199999999997</v>
      </c>
      <c r="P52" s="8">
        <v>20955968</v>
      </c>
      <c r="Q52" s="8">
        <v>0</v>
      </c>
      <c r="R52" s="8">
        <v>386.8</v>
      </c>
      <c r="S52" s="8">
        <v>0</v>
      </c>
      <c r="T52" s="8">
        <v>6932495</v>
      </c>
      <c r="U52" s="8">
        <v>43526490</v>
      </c>
      <c r="V52" s="8">
        <v>0</v>
      </c>
      <c r="W52" s="8">
        <v>1299</v>
      </c>
      <c r="X52" s="8">
        <v>844.5</v>
      </c>
      <c r="Y52" s="8">
        <v>549.29999999999995</v>
      </c>
      <c r="Z52" s="8">
        <v>829.7</v>
      </c>
      <c r="AA52" s="8">
        <v>10</v>
      </c>
      <c r="AB52" s="8">
        <v>5749.5</v>
      </c>
      <c r="AC52" s="8">
        <v>0</v>
      </c>
      <c r="AD52" s="8">
        <v>52</v>
      </c>
      <c r="AE52" s="8">
        <v>0</v>
      </c>
      <c r="AF52" s="8">
        <v>3244.2</v>
      </c>
      <c r="AG52" s="8">
        <v>0</v>
      </c>
      <c r="AH52" s="8">
        <v>11690.7</v>
      </c>
      <c r="AI52" s="8">
        <v>5195.8999999999996</v>
      </c>
    </row>
    <row r="53" spans="1:35" hidden="1">
      <c r="A53" t="s">
        <v>34</v>
      </c>
      <c r="B53" t="s">
        <v>43</v>
      </c>
      <c r="C53">
        <v>2040</v>
      </c>
      <c r="D53">
        <v>77372900</v>
      </c>
      <c r="E53">
        <v>2408026.7999999998</v>
      </c>
      <c r="F53">
        <v>83021600</v>
      </c>
      <c r="G53" s="8">
        <v>1209230.2</v>
      </c>
      <c r="H53" s="8">
        <v>233755.5</v>
      </c>
      <c r="I53" s="8">
        <v>115797.4</v>
      </c>
      <c r="J53" s="8">
        <v>0</v>
      </c>
      <c r="K53" s="8">
        <v>0</v>
      </c>
      <c r="L53" s="8">
        <v>1267209</v>
      </c>
      <c r="M53" s="8">
        <v>365288.7</v>
      </c>
      <c r="N53" s="8">
        <v>46060.2</v>
      </c>
      <c r="O53" s="8">
        <v>68677.3</v>
      </c>
      <c r="P53" s="8">
        <v>20706830</v>
      </c>
      <c r="Q53" s="8">
        <v>0</v>
      </c>
      <c r="R53" s="8">
        <v>75.3</v>
      </c>
      <c r="S53" s="8">
        <v>0</v>
      </c>
      <c r="T53" s="8">
        <v>7679775</v>
      </c>
      <c r="U53" s="8">
        <v>51328904</v>
      </c>
      <c r="V53" s="8">
        <v>0</v>
      </c>
      <c r="W53" s="8">
        <v>1068</v>
      </c>
      <c r="X53" s="8">
        <v>851.3</v>
      </c>
      <c r="Y53" s="8">
        <v>549.29999999999995</v>
      </c>
      <c r="Z53" s="8">
        <v>2196.1</v>
      </c>
      <c r="AA53" s="8">
        <v>10</v>
      </c>
      <c r="AB53" s="8">
        <v>5749.5</v>
      </c>
      <c r="AC53" s="8">
        <v>0</v>
      </c>
      <c r="AD53" s="8">
        <v>52</v>
      </c>
      <c r="AE53" s="8">
        <v>0</v>
      </c>
      <c r="AF53" s="8">
        <v>3626.8</v>
      </c>
      <c r="AG53" s="8">
        <v>0</v>
      </c>
      <c r="AH53" s="8">
        <v>14100.9</v>
      </c>
      <c r="AI53" s="8">
        <v>4271.8999999999996</v>
      </c>
    </row>
    <row r="54" spans="1:35" hidden="1">
      <c r="A54" t="s">
        <v>34</v>
      </c>
      <c r="B54" t="s">
        <v>43</v>
      </c>
      <c r="C54">
        <v>2045</v>
      </c>
      <c r="D54">
        <v>84177660</v>
      </c>
      <c r="E54">
        <v>3817709.5</v>
      </c>
      <c r="F54">
        <v>91909670</v>
      </c>
      <c r="G54" s="8">
        <v>1246972.5</v>
      </c>
      <c r="H54" s="8">
        <v>233755.5</v>
      </c>
      <c r="I54" s="8">
        <v>113638.6</v>
      </c>
      <c r="J54" s="8">
        <v>0</v>
      </c>
      <c r="K54" s="8">
        <v>0</v>
      </c>
      <c r="L54" s="8">
        <v>1291173.2</v>
      </c>
      <c r="M54" s="8">
        <v>313978.59999999998</v>
      </c>
      <c r="N54" s="8">
        <v>32422.400000000001</v>
      </c>
      <c r="O54" s="8">
        <v>67790.5</v>
      </c>
      <c r="P54" s="8">
        <v>20650502</v>
      </c>
      <c r="Q54" s="8">
        <v>0</v>
      </c>
      <c r="R54" s="8">
        <v>0</v>
      </c>
      <c r="S54" s="8">
        <v>0</v>
      </c>
      <c r="T54" s="8">
        <v>9152200</v>
      </c>
      <c r="U54" s="8">
        <v>58807240</v>
      </c>
      <c r="V54" s="8">
        <v>0</v>
      </c>
      <c r="W54" s="8">
        <v>1068</v>
      </c>
      <c r="X54" s="8">
        <v>869.5</v>
      </c>
      <c r="Y54" s="8">
        <v>549.29999999999995</v>
      </c>
      <c r="Z54" s="8">
        <v>2196.1</v>
      </c>
      <c r="AA54" s="8">
        <v>10</v>
      </c>
      <c r="AB54" s="8">
        <v>5749.5</v>
      </c>
      <c r="AC54" s="8">
        <v>0</v>
      </c>
      <c r="AD54" s="8">
        <v>0</v>
      </c>
      <c r="AE54" s="8">
        <v>0</v>
      </c>
      <c r="AF54" s="8">
        <v>4370.1000000000004</v>
      </c>
      <c r="AG54" s="8">
        <v>0</v>
      </c>
      <c r="AH54" s="8">
        <v>16485.2</v>
      </c>
      <c r="AI54" s="8">
        <v>4271.8999999999996</v>
      </c>
    </row>
    <row r="55" spans="1:35" hidden="1">
      <c r="A55" t="s">
        <v>34</v>
      </c>
      <c r="B55" t="s">
        <v>43</v>
      </c>
      <c r="C55">
        <v>2050</v>
      </c>
      <c r="D55">
        <v>90001070</v>
      </c>
      <c r="E55">
        <v>5295420.5</v>
      </c>
      <c r="F55">
        <v>99271016</v>
      </c>
      <c r="G55" s="8">
        <v>690795.8</v>
      </c>
      <c r="H55" s="8">
        <v>233755.5</v>
      </c>
      <c r="I55" s="8">
        <v>115031.3</v>
      </c>
      <c r="J55" s="8">
        <v>0</v>
      </c>
      <c r="K55" s="8">
        <v>0</v>
      </c>
      <c r="L55" s="8">
        <v>1330951</v>
      </c>
      <c r="M55" s="8">
        <v>316726.2</v>
      </c>
      <c r="N55" s="8">
        <v>27579.200000000001</v>
      </c>
      <c r="O55" s="8">
        <v>67719.600000000006</v>
      </c>
      <c r="P55" s="8">
        <v>19736604</v>
      </c>
      <c r="Q55" s="8">
        <v>0</v>
      </c>
      <c r="R55" s="8">
        <v>0</v>
      </c>
      <c r="S55" s="8">
        <v>0</v>
      </c>
      <c r="T55" s="8">
        <v>12291444</v>
      </c>
      <c r="U55" s="8">
        <v>64460410</v>
      </c>
      <c r="V55" s="8">
        <v>0</v>
      </c>
      <c r="W55" s="8">
        <v>571.9</v>
      </c>
      <c r="X55" s="8">
        <v>898.7</v>
      </c>
      <c r="Y55" s="8">
        <v>549.29999999999995</v>
      </c>
      <c r="Z55" s="8">
        <v>2217.6</v>
      </c>
      <c r="AA55" s="8">
        <v>10</v>
      </c>
      <c r="AB55" s="8">
        <v>5749.5</v>
      </c>
      <c r="AC55" s="8">
        <v>0</v>
      </c>
      <c r="AD55" s="8">
        <v>0</v>
      </c>
      <c r="AE55" s="8">
        <v>0</v>
      </c>
      <c r="AF55" s="8">
        <v>6033</v>
      </c>
      <c r="AG55" s="8">
        <v>0</v>
      </c>
      <c r="AH55" s="8">
        <v>17910</v>
      </c>
      <c r="AI55" s="8">
        <v>2287.6</v>
      </c>
    </row>
    <row r="56" spans="1:35" hidden="1">
      <c r="A56" t="s">
        <v>34</v>
      </c>
      <c r="B56" t="s">
        <v>44</v>
      </c>
      <c r="C56">
        <v>2025</v>
      </c>
      <c r="D56">
        <v>84253224</v>
      </c>
      <c r="E56">
        <v>9889.7999999999993</v>
      </c>
      <c r="F56">
        <v>86747350</v>
      </c>
      <c r="G56" s="8">
        <v>1485707</v>
      </c>
      <c r="H56" s="8">
        <v>322711.59999999998</v>
      </c>
      <c r="I56" s="8">
        <v>0</v>
      </c>
      <c r="J56" s="8">
        <v>19601534</v>
      </c>
      <c r="K56" s="8">
        <v>0</v>
      </c>
      <c r="L56" s="8">
        <v>2529032.2000000002</v>
      </c>
      <c r="M56" s="8">
        <v>23365574</v>
      </c>
      <c r="N56" s="8">
        <v>11072.7</v>
      </c>
      <c r="O56" s="8">
        <v>5358746.5</v>
      </c>
      <c r="P56" s="8">
        <v>6733541</v>
      </c>
      <c r="Q56" s="8">
        <v>0</v>
      </c>
      <c r="R56" s="8">
        <v>593.29999999999995</v>
      </c>
      <c r="S56" s="8">
        <v>0</v>
      </c>
      <c r="T56" s="8">
        <v>25324618</v>
      </c>
      <c r="U56" s="8">
        <v>2014221</v>
      </c>
      <c r="V56" s="8">
        <v>0</v>
      </c>
      <c r="W56" s="8">
        <v>1132.4000000000001</v>
      </c>
      <c r="X56" s="8">
        <v>1378.1</v>
      </c>
      <c r="Y56" s="8">
        <v>8385.4</v>
      </c>
      <c r="Z56" s="8">
        <v>1872.3</v>
      </c>
      <c r="AA56" s="8">
        <v>719.6</v>
      </c>
      <c r="AB56" s="8">
        <v>3518.7</v>
      </c>
      <c r="AC56" s="8">
        <v>0</v>
      </c>
      <c r="AD56" s="8">
        <v>717.1</v>
      </c>
      <c r="AE56" s="8">
        <v>0</v>
      </c>
      <c r="AF56" s="8">
        <v>9864.7999999999993</v>
      </c>
      <c r="AG56" s="8">
        <v>0</v>
      </c>
      <c r="AH56" s="8">
        <v>739.7</v>
      </c>
      <c r="AI56" s="8">
        <v>4529.3999999999996</v>
      </c>
    </row>
    <row r="57" spans="1:35">
      <c r="A57" t="s">
        <v>34</v>
      </c>
      <c r="B57" t="s">
        <v>44</v>
      </c>
      <c r="C57">
        <v>2030</v>
      </c>
      <c r="D57">
        <v>94292650</v>
      </c>
      <c r="E57">
        <v>1075721.8999999999</v>
      </c>
      <c r="F57">
        <v>93431790</v>
      </c>
      <c r="G57" s="8">
        <v>1607943.9</v>
      </c>
      <c r="H57" s="8">
        <v>322711.59999999998</v>
      </c>
      <c r="I57" s="8">
        <v>0</v>
      </c>
      <c r="J57" s="8">
        <v>14886686</v>
      </c>
      <c r="K57" s="8">
        <v>0</v>
      </c>
      <c r="L57" s="8">
        <v>2847248</v>
      </c>
      <c r="M57" s="8">
        <v>23883818</v>
      </c>
      <c r="N57" s="8">
        <v>47218.400000000001</v>
      </c>
      <c r="O57" s="8">
        <v>5341049.5</v>
      </c>
      <c r="P57" s="8">
        <v>6733541</v>
      </c>
      <c r="Q57" s="8">
        <v>0</v>
      </c>
      <c r="R57" s="8">
        <v>5694.7</v>
      </c>
      <c r="S57" s="8">
        <v>0</v>
      </c>
      <c r="T57" s="8">
        <v>32619108</v>
      </c>
      <c r="U57" s="8">
        <v>5136774.5</v>
      </c>
      <c r="V57" s="8">
        <v>0</v>
      </c>
      <c r="W57" s="8">
        <v>1148.4000000000001</v>
      </c>
      <c r="X57" s="8">
        <v>1591.7</v>
      </c>
      <c r="Y57" s="8">
        <v>9167.2000000000007</v>
      </c>
      <c r="Z57" s="8">
        <v>1842.5</v>
      </c>
      <c r="AA57" s="8">
        <v>719.6</v>
      </c>
      <c r="AB57" s="8">
        <v>3518.7</v>
      </c>
      <c r="AC57" s="8">
        <v>0</v>
      </c>
      <c r="AD57" s="8">
        <v>491.1</v>
      </c>
      <c r="AE57" s="8">
        <v>0</v>
      </c>
      <c r="AF57" s="8">
        <v>12795.6</v>
      </c>
      <c r="AG57" s="8">
        <v>0</v>
      </c>
      <c r="AH57" s="8">
        <v>1617.1</v>
      </c>
      <c r="AI57" s="8">
        <v>4593.6000000000004</v>
      </c>
    </row>
    <row r="58" spans="1:35" hidden="1">
      <c r="A58" t="s">
        <v>34</v>
      </c>
      <c r="B58" t="s">
        <v>44</v>
      </c>
      <c r="C58">
        <v>2035</v>
      </c>
      <c r="D58">
        <v>109382250</v>
      </c>
      <c r="E58">
        <v>6865665.5</v>
      </c>
      <c r="F58">
        <v>114648856</v>
      </c>
      <c r="G58" s="8">
        <v>10789193</v>
      </c>
      <c r="H58" s="8">
        <v>101738.8</v>
      </c>
      <c r="I58" s="8">
        <v>0</v>
      </c>
      <c r="J58" s="8">
        <v>0</v>
      </c>
      <c r="K58" s="8">
        <v>0</v>
      </c>
      <c r="L58" s="8">
        <v>2725388.8</v>
      </c>
      <c r="M58" s="8">
        <v>24993652</v>
      </c>
      <c r="N58" s="8">
        <v>50908.9</v>
      </c>
      <c r="O58" s="8">
        <v>4883125.5</v>
      </c>
      <c r="P58" s="8">
        <v>6731846.5</v>
      </c>
      <c r="Q58" s="8">
        <v>0</v>
      </c>
      <c r="R58" s="8">
        <v>4838.5</v>
      </c>
      <c r="S58" s="8">
        <v>0</v>
      </c>
      <c r="T58" s="8">
        <v>58623572</v>
      </c>
      <c r="U58" s="8">
        <v>5744599.5</v>
      </c>
      <c r="V58" s="8">
        <v>0</v>
      </c>
      <c r="W58" s="8">
        <v>7758.3</v>
      </c>
      <c r="X58" s="8">
        <v>1548</v>
      </c>
      <c r="Y58" s="8">
        <v>11090.2</v>
      </c>
      <c r="Z58" s="8">
        <v>1748</v>
      </c>
      <c r="AA58" s="8">
        <v>719.6</v>
      </c>
      <c r="AB58" s="8">
        <v>3518.7</v>
      </c>
      <c r="AC58" s="8">
        <v>0</v>
      </c>
      <c r="AD58" s="8">
        <v>253.6</v>
      </c>
      <c r="AE58" s="8">
        <v>0</v>
      </c>
      <c r="AF58" s="8">
        <v>24686.9</v>
      </c>
      <c r="AG58" s="8">
        <v>0</v>
      </c>
      <c r="AH58" s="8">
        <v>1840.9</v>
      </c>
      <c r="AI58" s="8">
        <v>31033</v>
      </c>
    </row>
    <row r="59" spans="1:35" hidden="1">
      <c r="A59" t="s">
        <v>34</v>
      </c>
      <c r="B59" t="s">
        <v>44</v>
      </c>
      <c r="C59">
        <v>2040</v>
      </c>
      <c r="D59">
        <v>124747050</v>
      </c>
      <c r="E59">
        <v>10806294</v>
      </c>
      <c r="F59">
        <v>137217330</v>
      </c>
      <c r="G59" s="8">
        <v>10002384</v>
      </c>
      <c r="H59" s="8">
        <v>101738.8</v>
      </c>
      <c r="I59" s="8">
        <v>0</v>
      </c>
      <c r="J59" s="8">
        <v>0</v>
      </c>
      <c r="K59" s="8">
        <v>0</v>
      </c>
      <c r="L59" s="8">
        <v>2736661.5</v>
      </c>
      <c r="M59" s="8">
        <v>37085080</v>
      </c>
      <c r="N59" s="8">
        <v>6734.5</v>
      </c>
      <c r="O59" s="8">
        <v>4745157.5</v>
      </c>
      <c r="P59" s="8">
        <v>6730678.5</v>
      </c>
      <c r="Q59" s="8">
        <v>0</v>
      </c>
      <c r="R59" s="8">
        <v>1242.2</v>
      </c>
      <c r="S59" s="8">
        <v>0</v>
      </c>
      <c r="T59" s="8">
        <v>67414310</v>
      </c>
      <c r="U59" s="8">
        <v>8393336</v>
      </c>
      <c r="V59" s="8">
        <v>0</v>
      </c>
      <c r="W59" s="8">
        <v>7113.2</v>
      </c>
      <c r="X59" s="8">
        <v>1557.6</v>
      </c>
      <c r="Y59" s="8">
        <v>17708.5</v>
      </c>
      <c r="Z59" s="8">
        <v>1748</v>
      </c>
      <c r="AA59" s="8">
        <v>704</v>
      </c>
      <c r="AB59" s="8">
        <v>3518.7</v>
      </c>
      <c r="AC59" s="8">
        <v>0</v>
      </c>
      <c r="AD59" s="8">
        <v>239.6</v>
      </c>
      <c r="AE59" s="8">
        <v>0</v>
      </c>
      <c r="AF59" s="8">
        <v>29464.799999999999</v>
      </c>
      <c r="AG59" s="8">
        <v>0</v>
      </c>
      <c r="AH59" s="8">
        <v>2566</v>
      </c>
      <c r="AI59" s="8">
        <v>28452.799999999999</v>
      </c>
    </row>
    <row r="60" spans="1:35" hidden="1">
      <c r="A60" t="s">
        <v>34</v>
      </c>
      <c r="B60" t="s">
        <v>44</v>
      </c>
      <c r="C60">
        <v>2045</v>
      </c>
      <c r="D60">
        <v>138886180</v>
      </c>
      <c r="E60">
        <v>18297844</v>
      </c>
      <c r="F60">
        <v>157093520</v>
      </c>
      <c r="G60" s="8">
        <v>11983184</v>
      </c>
      <c r="H60" s="8">
        <v>101738.8</v>
      </c>
      <c r="I60" s="8">
        <v>0</v>
      </c>
      <c r="J60" s="8">
        <v>0</v>
      </c>
      <c r="K60" s="8">
        <v>0</v>
      </c>
      <c r="L60" s="8">
        <v>2778943.5</v>
      </c>
      <c r="M60" s="8">
        <v>42844160</v>
      </c>
      <c r="N60" s="8">
        <v>2422.1</v>
      </c>
      <c r="O60" s="8">
        <v>3369657.5</v>
      </c>
      <c r="P60" s="8">
        <v>6728130.5</v>
      </c>
      <c r="Q60" s="8">
        <v>0</v>
      </c>
      <c r="R60" s="8">
        <v>526.5</v>
      </c>
      <c r="S60" s="8">
        <v>0</v>
      </c>
      <c r="T60" s="8">
        <v>80071096</v>
      </c>
      <c r="U60" s="8">
        <v>9213662</v>
      </c>
      <c r="V60" s="8">
        <v>0</v>
      </c>
      <c r="W60" s="8">
        <v>8513.2999999999993</v>
      </c>
      <c r="X60" s="8">
        <v>1593.1</v>
      </c>
      <c r="Y60" s="8">
        <v>21108.3</v>
      </c>
      <c r="Z60" s="8">
        <v>1730.9</v>
      </c>
      <c r="AA60" s="8">
        <v>504.6</v>
      </c>
      <c r="AB60" s="8">
        <v>3518.7</v>
      </c>
      <c r="AC60" s="8">
        <v>0</v>
      </c>
      <c r="AD60" s="8">
        <v>239.6</v>
      </c>
      <c r="AE60" s="8">
        <v>0</v>
      </c>
      <c r="AF60" s="8">
        <v>36822.400000000001</v>
      </c>
      <c r="AG60" s="8">
        <v>0</v>
      </c>
      <c r="AH60" s="8">
        <v>2859.1</v>
      </c>
      <c r="AI60" s="8">
        <v>34053.4</v>
      </c>
    </row>
    <row r="61" spans="1:35" hidden="1">
      <c r="A61" t="s">
        <v>34</v>
      </c>
      <c r="B61" t="s">
        <v>44</v>
      </c>
      <c r="C61">
        <v>2050</v>
      </c>
      <c r="D61">
        <v>152025470</v>
      </c>
      <c r="E61">
        <v>25871634</v>
      </c>
      <c r="F61">
        <v>174549940</v>
      </c>
      <c r="G61" s="8">
        <v>12962632</v>
      </c>
      <c r="H61" s="8">
        <v>101738.8</v>
      </c>
      <c r="I61" s="8">
        <v>0</v>
      </c>
      <c r="J61" s="8">
        <v>0</v>
      </c>
      <c r="K61" s="8">
        <v>0</v>
      </c>
      <c r="L61" s="8">
        <v>2930488.2</v>
      </c>
      <c r="M61" s="8">
        <v>46493810</v>
      </c>
      <c r="N61" s="8">
        <v>1409.6</v>
      </c>
      <c r="O61" s="8">
        <v>2624880</v>
      </c>
      <c r="P61" s="8">
        <v>6724879</v>
      </c>
      <c r="Q61" s="8">
        <v>0</v>
      </c>
      <c r="R61" s="8">
        <v>81</v>
      </c>
      <c r="S61" s="8">
        <v>0</v>
      </c>
      <c r="T61" s="8">
        <v>93194650</v>
      </c>
      <c r="U61" s="8">
        <v>9515372</v>
      </c>
      <c r="V61" s="8">
        <v>0</v>
      </c>
      <c r="W61" s="8">
        <v>9563.7000000000007</v>
      </c>
      <c r="X61" s="8">
        <v>1702.3</v>
      </c>
      <c r="Y61" s="8">
        <v>24313.8</v>
      </c>
      <c r="Z61" s="8">
        <v>1167.7</v>
      </c>
      <c r="AA61" s="8">
        <v>422.7</v>
      </c>
      <c r="AB61" s="8">
        <v>3518.7</v>
      </c>
      <c r="AC61" s="8">
        <v>0</v>
      </c>
      <c r="AD61" s="8">
        <v>11.4</v>
      </c>
      <c r="AE61" s="8">
        <v>0</v>
      </c>
      <c r="AF61" s="8">
        <v>44470</v>
      </c>
      <c r="AG61" s="8">
        <v>0</v>
      </c>
      <c r="AH61" s="8">
        <v>3047.3</v>
      </c>
      <c r="AI61" s="8">
        <v>38255</v>
      </c>
    </row>
    <row r="62" spans="1:35" hidden="1">
      <c r="A62" t="s">
        <v>34</v>
      </c>
      <c r="B62" t="s">
        <v>45</v>
      </c>
      <c r="C62">
        <v>2025</v>
      </c>
      <c r="D62">
        <v>158100640</v>
      </c>
      <c r="E62">
        <v>0</v>
      </c>
      <c r="F62">
        <v>186808720</v>
      </c>
      <c r="G62" s="8">
        <v>5154.3999999999996</v>
      </c>
      <c r="H62" s="8">
        <v>1228183.5</v>
      </c>
      <c r="I62" s="8">
        <v>8116832</v>
      </c>
      <c r="J62" s="8">
        <v>0</v>
      </c>
      <c r="K62" s="8">
        <v>0</v>
      </c>
      <c r="L62" s="8">
        <v>824964.1</v>
      </c>
      <c r="M62" s="8">
        <v>8841159</v>
      </c>
      <c r="N62" s="8">
        <v>0</v>
      </c>
      <c r="O62" s="8">
        <v>145213.4</v>
      </c>
      <c r="P62" s="8">
        <v>130439384</v>
      </c>
      <c r="Q62" s="8">
        <v>9193461</v>
      </c>
      <c r="R62" s="8">
        <v>0</v>
      </c>
      <c r="S62" s="8">
        <v>139080.29999999999</v>
      </c>
      <c r="T62" s="8">
        <v>3827532.5</v>
      </c>
      <c r="U62" s="8">
        <v>24047764</v>
      </c>
      <c r="V62" s="8">
        <v>0</v>
      </c>
      <c r="W62" s="8">
        <v>20.100000000000001</v>
      </c>
      <c r="X62" s="8">
        <v>658</v>
      </c>
      <c r="Y62" s="8">
        <v>6007.1</v>
      </c>
      <c r="Z62" s="8">
        <v>1371.8</v>
      </c>
      <c r="AA62" s="8">
        <v>19.5</v>
      </c>
      <c r="AB62" s="8">
        <v>30835.3</v>
      </c>
      <c r="AC62" s="8">
        <v>1151</v>
      </c>
      <c r="AD62" s="8">
        <v>2.5</v>
      </c>
      <c r="AE62" s="8">
        <v>314</v>
      </c>
      <c r="AF62" s="8">
        <v>1961.8</v>
      </c>
      <c r="AG62" s="8">
        <v>0</v>
      </c>
      <c r="AH62" s="8">
        <v>7528</v>
      </c>
      <c r="AI62" s="8">
        <v>80.2</v>
      </c>
    </row>
    <row r="63" spans="1:35">
      <c r="A63" t="s">
        <v>34</v>
      </c>
      <c r="B63" t="s">
        <v>45</v>
      </c>
      <c r="C63">
        <v>2030</v>
      </c>
      <c r="D63">
        <v>174448350</v>
      </c>
      <c r="E63">
        <v>125000.9</v>
      </c>
      <c r="F63">
        <v>197716510</v>
      </c>
      <c r="G63" s="8">
        <v>11141.3</v>
      </c>
      <c r="H63" s="8">
        <v>694166</v>
      </c>
      <c r="I63" s="8">
        <v>6151182</v>
      </c>
      <c r="J63" s="8">
        <v>0</v>
      </c>
      <c r="K63" s="8">
        <v>0</v>
      </c>
      <c r="L63" s="8">
        <v>1190036.8999999999</v>
      </c>
      <c r="M63" s="8">
        <v>7012494.5</v>
      </c>
      <c r="N63" s="8">
        <v>565.29999999999995</v>
      </c>
      <c r="O63" s="8">
        <v>144351.4</v>
      </c>
      <c r="P63" s="8">
        <v>125825580</v>
      </c>
      <c r="Q63" s="8">
        <v>9193461</v>
      </c>
      <c r="R63" s="8">
        <v>0</v>
      </c>
      <c r="S63" s="8">
        <v>150947</v>
      </c>
      <c r="T63" s="8">
        <v>6267023.5</v>
      </c>
      <c r="U63" s="8">
        <v>41075560</v>
      </c>
      <c r="V63" s="8">
        <v>0</v>
      </c>
      <c r="W63" s="8">
        <v>20.100000000000001</v>
      </c>
      <c r="X63" s="8">
        <v>944.5</v>
      </c>
      <c r="Y63" s="8">
        <v>5675.3</v>
      </c>
      <c r="Z63" s="8">
        <v>1427.4</v>
      </c>
      <c r="AA63" s="8">
        <v>19.5</v>
      </c>
      <c r="AB63" s="8">
        <v>31722.2</v>
      </c>
      <c r="AC63" s="8">
        <v>1151</v>
      </c>
      <c r="AD63" s="8">
        <v>0</v>
      </c>
      <c r="AE63" s="8">
        <v>314</v>
      </c>
      <c r="AF63" s="8">
        <v>3105.2</v>
      </c>
      <c r="AG63" s="8">
        <v>0</v>
      </c>
      <c r="AH63" s="8">
        <v>11532.5</v>
      </c>
      <c r="AI63" s="8">
        <v>80.2</v>
      </c>
    </row>
    <row r="64" spans="1:35" hidden="1">
      <c r="A64" t="s">
        <v>34</v>
      </c>
      <c r="B64" t="s">
        <v>45</v>
      </c>
      <c r="C64">
        <v>2035</v>
      </c>
      <c r="D64">
        <v>194986430</v>
      </c>
      <c r="E64">
        <v>1741858.4</v>
      </c>
      <c r="F64">
        <v>225250900</v>
      </c>
      <c r="G64" s="8">
        <v>18068.599999999999</v>
      </c>
      <c r="H64" s="8">
        <v>581470</v>
      </c>
      <c r="I64" s="8">
        <v>5474183.5</v>
      </c>
      <c r="J64" s="8">
        <v>0</v>
      </c>
      <c r="K64" s="8">
        <v>0</v>
      </c>
      <c r="L64" s="8">
        <v>1524472.8</v>
      </c>
      <c r="M64" s="8">
        <v>6635628.5</v>
      </c>
      <c r="N64" s="8">
        <v>6265.4</v>
      </c>
      <c r="O64" s="8">
        <v>138026.29999999999</v>
      </c>
      <c r="P64" s="8">
        <v>126586380</v>
      </c>
      <c r="Q64" s="8">
        <v>9193461</v>
      </c>
      <c r="R64" s="8">
        <v>0</v>
      </c>
      <c r="S64" s="8">
        <v>224494.2</v>
      </c>
      <c r="T64" s="8">
        <v>15963466</v>
      </c>
      <c r="U64" s="8">
        <v>58904980</v>
      </c>
      <c r="V64" s="8">
        <v>0</v>
      </c>
      <c r="W64" s="8">
        <v>19.399999999999999</v>
      </c>
      <c r="X64" s="8">
        <v>1209.2</v>
      </c>
      <c r="Y64" s="8">
        <v>5538.3</v>
      </c>
      <c r="Z64" s="8">
        <v>1388.2</v>
      </c>
      <c r="AA64" s="8">
        <v>19.5</v>
      </c>
      <c r="AB64" s="8">
        <v>31733.4</v>
      </c>
      <c r="AC64" s="8">
        <v>1151</v>
      </c>
      <c r="AD64" s="8">
        <v>0</v>
      </c>
      <c r="AE64" s="8">
        <v>314</v>
      </c>
      <c r="AF64" s="8">
        <v>8087.7</v>
      </c>
      <c r="AG64" s="8">
        <v>0</v>
      </c>
      <c r="AH64" s="8">
        <v>16923.5</v>
      </c>
      <c r="AI64" s="8">
        <v>77.7</v>
      </c>
    </row>
    <row r="65" spans="1:35" hidden="1">
      <c r="A65" t="s">
        <v>34</v>
      </c>
      <c r="B65" t="s">
        <v>45</v>
      </c>
      <c r="C65">
        <v>2040</v>
      </c>
      <c r="D65">
        <v>214420690</v>
      </c>
      <c r="E65">
        <v>4286057</v>
      </c>
      <c r="F65">
        <v>246104800</v>
      </c>
      <c r="G65" s="8">
        <v>2923.9</v>
      </c>
      <c r="H65" s="8">
        <v>581470</v>
      </c>
      <c r="I65" s="8">
        <v>5943624</v>
      </c>
      <c r="J65" s="8">
        <v>0</v>
      </c>
      <c r="K65" s="8">
        <v>0</v>
      </c>
      <c r="L65" s="8">
        <v>1527079.4</v>
      </c>
      <c r="M65" s="8">
        <v>8105321</v>
      </c>
      <c r="N65" s="8">
        <v>348.8</v>
      </c>
      <c r="O65" s="8">
        <v>131612.6</v>
      </c>
      <c r="P65" s="8">
        <v>126711630</v>
      </c>
      <c r="Q65" s="8">
        <v>9193461</v>
      </c>
      <c r="R65" s="8">
        <v>0</v>
      </c>
      <c r="S65" s="8">
        <v>276173.2</v>
      </c>
      <c r="T65" s="8">
        <v>25821442</v>
      </c>
      <c r="U65" s="8">
        <v>67809720</v>
      </c>
      <c r="V65" s="8">
        <v>0</v>
      </c>
      <c r="W65" s="8">
        <v>2.5</v>
      </c>
      <c r="X65" s="8">
        <v>1216.2</v>
      </c>
      <c r="Y65" s="8">
        <v>6995.6</v>
      </c>
      <c r="Z65" s="8">
        <v>934.2</v>
      </c>
      <c r="AA65" s="8">
        <v>19.5</v>
      </c>
      <c r="AB65" s="8">
        <v>31733.4</v>
      </c>
      <c r="AC65" s="8">
        <v>1151</v>
      </c>
      <c r="AD65" s="8">
        <v>0</v>
      </c>
      <c r="AE65" s="8">
        <v>314</v>
      </c>
      <c r="AF65" s="8">
        <v>13412.9</v>
      </c>
      <c r="AG65" s="8">
        <v>0</v>
      </c>
      <c r="AH65" s="8">
        <v>19843.400000000001</v>
      </c>
      <c r="AI65" s="8">
        <v>10</v>
      </c>
    </row>
    <row r="66" spans="1:35" hidden="1">
      <c r="A66" t="s">
        <v>34</v>
      </c>
      <c r="B66" t="s">
        <v>45</v>
      </c>
      <c r="C66">
        <v>2045</v>
      </c>
      <c r="D66">
        <v>232522140</v>
      </c>
      <c r="E66">
        <v>6142809.5</v>
      </c>
      <c r="F66">
        <v>263182380</v>
      </c>
      <c r="G66" s="8">
        <v>2957.5</v>
      </c>
      <c r="H66" s="8">
        <v>581470</v>
      </c>
      <c r="I66" s="8">
        <v>5100927</v>
      </c>
      <c r="J66" s="8">
        <v>0</v>
      </c>
      <c r="K66" s="8">
        <v>0</v>
      </c>
      <c r="L66" s="8">
        <v>1574871</v>
      </c>
      <c r="M66" s="8">
        <v>10745841</v>
      </c>
      <c r="N66" s="8">
        <v>1694.9</v>
      </c>
      <c r="O66" s="8">
        <v>0</v>
      </c>
      <c r="P66" s="8">
        <v>129198360</v>
      </c>
      <c r="Q66" s="8">
        <v>9193461</v>
      </c>
      <c r="R66" s="8">
        <v>0</v>
      </c>
      <c r="S66" s="8">
        <v>383580.4</v>
      </c>
      <c r="T66" s="8">
        <v>32406426</v>
      </c>
      <c r="U66" s="8">
        <v>73992790</v>
      </c>
      <c r="V66" s="8">
        <v>0</v>
      </c>
      <c r="W66" s="8">
        <v>2.5</v>
      </c>
      <c r="X66" s="8">
        <v>1256.7</v>
      </c>
      <c r="Y66" s="8">
        <v>8363.5</v>
      </c>
      <c r="Z66" s="8">
        <v>934.2</v>
      </c>
      <c r="AA66" s="8">
        <v>0</v>
      </c>
      <c r="AB66" s="8">
        <v>31741.5</v>
      </c>
      <c r="AC66" s="8">
        <v>1151</v>
      </c>
      <c r="AD66" s="8">
        <v>0</v>
      </c>
      <c r="AE66" s="8">
        <v>314</v>
      </c>
      <c r="AF66" s="8">
        <v>17155</v>
      </c>
      <c r="AG66" s="8">
        <v>0</v>
      </c>
      <c r="AH66" s="8">
        <v>21692.6</v>
      </c>
      <c r="AI66" s="8">
        <v>10</v>
      </c>
    </row>
    <row r="67" spans="1:35" hidden="1">
      <c r="A67" t="s">
        <v>34</v>
      </c>
      <c r="B67" t="s">
        <v>45</v>
      </c>
      <c r="C67">
        <v>2050</v>
      </c>
      <c r="D67">
        <v>249583570</v>
      </c>
      <c r="E67">
        <v>7223398.5</v>
      </c>
      <c r="F67">
        <v>280572800</v>
      </c>
      <c r="G67" s="8">
        <v>377307.6</v>
      </c>
      <c r="H67" s="8">
        <v>581470</v>
      </c>
      <c r="I67" s="8">
        <v>5913372.5</v>
      </c>
      <c r="J67" s="8">
        <v>0</v>
      </c>
      <c r="K67" s="8">
        <v>0</v>
      </c>
      <c r="L67" s="8">
        <v>1692822.2</v>
      </c>
      <c r="M67" s="8">
        <v>12463126</v>
      </c>
      <c r="N67" s="8">
        <v>147789.79999999999</v>
      </c>
      <c r="O67" s="8">
        <v>0</v>
      </c>
      <c r="P67" s="8">
        <v>127119550</v>
      </c>
      <c r="Q67" s="8">
        <v>9193461</v>
      </c>
      <c r="R67" s="8">
        <v>0</v>
      </c>
      <c r="S67" s="8">
        <v>432278.2</v>
      </c>
      <c r="T67" s="8">
        <v>38142580</v>
      </c>
      <c r="U67" s="8">
        <v>84509040</v>
      </c>
      <c r="V67" s="8">
        <v>0</v>
      </c>
      <c r="W67" s="8">
        <v>336.9</v>
      </c>
      <c r="X67" s="8">
        <v>1351.6</v>
      </c>
      <c r="Y67" s="8">
        <v>8103.5</v>
      </c>
      <c r="Z67" s="8">
        <v>3940.2</v>
      </c>
      <c r="AA67" s="8">
        <v>0</v>
      </c>
      <c r="AB67" s="8">
        <v>31741.5</v>
      </c>
      <c r="AC67" s="8">
        <v>1151</v>
      </c>
      <c r="AD67" s="8">
        <v>0</v>
      </c>
      <c r="AE67" s="8">
        <v>314</v>
      </c>
      <c r="AF67" s="8">
        <v>20105</v>
      </c>
      <c r="AG67" s="8">
        <v>0</v>
      </c>
      <c r="AH67" s="8">
        <v>24554.5</v>
      </c>
      <c r="AI67" s="8">
        <v>1347.6</v>
      </c>
    </row>
    <row r="68" spans="1:35" hidden="1">
      <c r="A68" t="s">
        <v>34</v>
      </c>
      <c r="B68" t="s">
        <v>46</v>
      </c>
      <c r="C68">
        <v>2025</v>
      </c>
      <c r="D68">
        <v>729503100</v>
      </c>
      <c r="E68">
        <v>699.3</v>
      </c>
      <c r="F68">
        <v>746062140</v>
      </c>
      <c r="G68" s="8">
        <v>4102933.5</v>
      </c>
      <c r="H68" s="8">
        <v>5811802.5</v>
      </c>
      <c r="I68" s="8">
        <v>0</v>
      </c>
      <c r="J68" s="8">
        <v>172159940</v>
      </c>
      <c r="K68" s="8">
        <v>0</v>
      </c>
      <c r="L68" s="8">
        <v>6405400</v>
      </c>
      <c r="M68" s="8">
        <v>297722460</v>
      </c>
      <c r="N68" s="8">
        <v>2528750.2000000002</v>
      </c>
      <c r="O68" s="8">
        <v>0</v>
      </c>
      <c r="P68" s="8">
        <v>9139849</v>
      </c>
      <c r="Q68" s="8">
        <v>159425470</v>
      </c>
      <c r="R68" s="8">
        <v>940743.2</v>
      </c>
      <c r="S68" s="8">
        <v>4377366</v>
      </c>
      <c r="T68" s="8">
        <v>46264416</v>
      </c>
      <c r="U68" s="8">
        <v>37141896</v>
      </c>
      <c r="V68" s="8">
        <v>41134</v>
      </c>
      <c r="W68" s="8">
        <v>3022.9</v>
      </c>
      <c r="X68" s="8">
        <v>4459.6000000000004</v>
      </c>
      <c r="Y68" s="8">
        <v>55245.4</v>
      </c>
      <c r="Z68" s="8">
        <v>21618</v>
      </c>
      <c r="AA68" s="8">
        <v>0</v>
      </c>
      <c r="AB68" s="8">
        <v>3160.5</v>
      </c>
      <c r="AC68" s="8">
        <v>19959.7</v>
      </c>
      <c r="AD68" s="8">
        <v>9042.1</v>
      </c>
      <c r="AE68" s="8">
        <v>5203</v>
      </c>
      <c r="AF68" s="8">
        <v>22939.4</v>
      </c>
      <c r="AG68" s="8">
        <v>12</v>
      </c>
      <c r="AH68" s="8">
        <v>11762.3</v>
      </c>
      <c r="AI68" s="8">
        <v>13811.5</v>
      </c>
    </row>
    <row r="69" spans="1:35">
      <c r="A69" t="s">
        <v>34</v>
      </c>
      <c r="B69" t="s">
        <v>46</v>
      </c>
      <c r="C69">
        <v>2030</v>
      </c>
      <c r="D69">
        <v>777558700</v>
      </c>
      <c r="E69">
        <v>55219.1</v>
      </c>
      <c r="F69">
        <v>786649100</v>
      </c>
      <c r="G69" s="8">
        <v>8849255</v>
      </c>
      <c r="H69" s="8">
        <v>4394278</v>
      </c>
      <c r="I69" s="8">
        <v>0</v>
      </c>
      <c r="J69" s="8">
        <v>71365390</v>
      </c>
      <c r="K69" s="8">
        <v>0</v>
      </c>
      <c r="L69" s="8">
        <v>9387490</v>
      </c>
      <c r="M69" s="8">
        <v>367643260</v>
      </c>
      <c r="N69" s="8">
        <v>4504133</v>
      </c>
      <c r="O69" s="8">
        <v>0</v>
      </c>
      <c r="P69" s="8">
        <v>9455776</v>
      </c>
      <c r="Q69" s="8">
        <v>159425470</v>
      </c>
      <c r="R69" s="8">
        <v>1912488</v>
      </c>
      <c r="S69" s="8">
        <v>4368643.5</v>
      </c>
      <c r="T69" s="8">
        <v>53260508</v>
      </c>
      <c r="U69" s="8">
        <v>63044908</v>
      </c>
      <c r="V69" s="8">
        <v>29037516</v>
      </c>
      <c r="W69" s="8">
        <v>6768.4</v>
      </c>
      <c r="X69" s="8">
        <v>6510.4</v>
      </c>
      <c r="Y69" s="8">
        <v>60126.3</v>
      </c>
      <c r="Z69" s="8">
        <v>21115.200000000001</v>
      </c>
      <c r="AA69" s="8">
        <v>0</v>
      </c>
      <c r="AB69" s="8">
        <v>3279.5</v>
      </c>
      <c r="AC69" s="8">
        <v>19959.7</v>
      </c>
      <c r="AD69" s="8">
        <v>7325.1</v>
      </c>
      <c r="AE69" s="8">
        <v>5203</v>
      </c>
      <c r="AF69" s="8">
        <v>26163.1</v>
      </c>
      <c r="AG69" s="8">
        <v>7861.2</v>
      </c>
      <c r="AH69" s="8">
        <v>17878.900000000001</v>
      </c>
      <c r="AI69" s="8">
        <v>28793.599999999999</v>
      </c>
    </row>
    <row r="70" spans="1:35" hidden="1">
      <c r="A70" t="s">
        <v>34</v>
      </c>
      <c r="B70" t="s">
        <v>46</v>
      </c>
      <c r="C70">
        <v>2035</v>
      </c>
      <c r="D70">
        <v>847549400</v>
      </c>
      <c r="E70">
        <v>107885.2</v>
      </c>
      <c r="F70">
        <v>817336770</v>
      </c>
      <c r="G70" s="8">
        <v>17851794</v>
      </c>
      <c r="H70" s="8">
        <v>4394278</v>
      </c>
      <c r="I70" s="8">
        <v>0</v>
      </c>
      <c r="J70" s="8">
        <v>0</v>
      </c>
      <c r="K70" s="8">
        <v>0</v>
      </c>
      <c r="L70" s="8">
        <v>11187474</v>
      </c>
      <c r="M70" s="8">
        <v>326772830</v>
      </c>
      <c r="N70" s="8">
        <v>8211329</v>
      </c>
      <c r="O70" s="8">
        <v>0</v>
      </c>
      <c r="P70" s="8">
        <v>9455772</v>
      </c>
      <c r="Q70" s="8">
        <v>159425470</v>
      </c>
      <c r="R70" s="8">
        <v>2648431</v>
      </c>
      <c r="S70" s="8">
        <v>3772211.5</v>
      </c>
      <c r="T70" s="8">
        <v>84069200</v>
      </c>
      <c r="U70" s="8">
        <v>112831190</v>
      </c>
      <c r="V70" s="8">
        <v>76716750</v>
      </c>
      <c r="W70" s="8">
        <v>16786</v>
      </c>
      <c r="X70" s="8">
        <v>7762.5</v>
      </c>
      <c r="Y70" s="8">
        <v>69408.800000000003</v>
      </c>
      <c r="Z70" s="8">
        <v>21842.7</v>
      </c>
      <c r="AA70" s="8">
        <v>0</v>
      </c>
      <c r="AB70" s="8">
        <v>3279.5</v>
      </c>
      <c r="AC70" s="8">
        <v>19959.7</v>
      </c>
      <c r="AD70" s="8">
        <v>5883.3</v>
      </c>
      <c r="AE70" s="8">
        <v>5203</v>
      </c>
      <c r="AF70" s="8">
        <v>40386</v>
      </c>
      <c r="AG70" s="8">
        <v>20621.2</v>
      </c>
      <c r="AH70" s="8">
        <v>33170.1</v>
      </c>
      <c r="AI70" s="8">
        <v>68864.2</v>
      </c>
    </row>
    <row r="71" spans="1:35" hidden="1">
      <c r="A71" t="s">
        <v>34</v>
      </c>
      <c r="B71" t="s">
        <v>46</v>
      </c>
      <c r="C71">
        <v>2040</v>
      </c>
      <c r="D71">
        <v>922468740</v>
      </c>
      <c r="E71">
        <v>292858.2</v>
      </c>
      <c r="F71">
        <v>882196160</v>
      </c>
      <c r="G71" s="8">
        <v>20197498</v>
      </c>
      <c r="H71" s="8">
        <v>4341244.5</v>
      </c>
      <c r="I71" s="8">
        <v>0</v>
      </c>
      <c r="J71" s="8">
        <v>0</v>
      </c>
      <c r="K71" s="8">
        <v>0</v>
      </c>
      <c r="L71" s="8">
        <v>12592203</v>
      </c>
      <c r="M71" s="8">
        <v>342356640</v>
      </c>
      <c r="N71" s="8">
        <v>5917300</v>
      </c>
      <c r="O71" s="8">
        <v>0</v>
      </c>
      <c r="P71" s="8">
        <v>9455728</v>
      </c>
      <c r="Q71" s="8">
        <v>159425470</v>
      </c>
      <c r="R71" s="8">
        <v>1638476.6</v>
      </c>
      <c r="S71" s="8">
        <v>3790760</v>
      </c>
      <c r="T71" s="8">
        <v>93603730</v>
      </c>
      <c r="U71" s="8">
        <v>134797620</v>
      </c>
      <c r="V71" s="8">
        <v>94079530</v>
      </c>
      <c r="W71" s="8">
        <v>20627.2</v>
      </c>
      <c r="X71" s="8">
        <v>8747.7000000000007</v>
      </c>
      <c r="Y71" s="8">
        <v>80955.199999999997</v>
      </c>
      <c r="Z71" s="8">
        <v>22082.7</v>
      </c>
      <c r="AA71" s="8">
        <v>0</v>
      </c>
      <c r="AB71" s="8">
        <v>3279.5</v>
      </c>
      <c r="AC71" s="8">
        <v>19959.7</v>
      </c>
      <c r="AD71" s="8">
        <v>5285.7</v>
      </c>
      <c r="AE71" s="8">
        <v>5203</v>
      </c>
      <c r="AF71" s="8">
        <v>44737</v>
      </c>
      <c r="AG71" s="8">
        <v>25146.2</v>
      </c>
      <c r="AH71" s="8">
        <v>39381.1</v>
      </c>
      <c r="AI71" s="8">
        <v>82508.7</v>
      </c>
    </row>
    <row r="72" spans="1:35" hidden="1">
      <c r="A72" t="s">
        <v>34</v>
      </c>
      <c r="B72" t="s">
        <v>46</v>
      </c>
      <c r="C72">
        <v>2045</v>
      </c>
      <c r="D72">
        <v>1000426100</v>
      </c>
      <c r="E72">
        <v>430797.4</v>
      </c>
      <c r="F72">
        <v>947604800</v>
      </c>
      <c r="G72" s="8">
        <v>28832404</v>
      </c>
      <c r="H72" s="8">
        <v>4341244.5</v>
      </c>
      <c r="I72" s="8">
        <v>0</v>
      </c>
      <c r="J72" s="8">
        <v>0</v>
      </c>
      <c r="K72" s="8">
        <v>0</v>
      </c>
      <c r="L72" s="8">
        <v>15222478</v>
      </c>
      <c r="M72" s="8">
        <v>363263360</v>
      </c>
      <c r="N72" s="8">
        <v>5340805.5</v>
      </c>
      <c r="O72" s="8">
        <v>0</v>
      </c>
      <c r="P72" s="8">
        <v>9455776</v>
      </c>
      <c r="Q72" s="8">
        <v>159425470</v>
      </c>
      <c r="R72" s="8">
        <v>1364898.2</v>
      </c>
      <c r="S72" s="8">
        <v>3613934.5</v>
      </c>
      <c r="T72" s="8">
        <v>119220200</v>
      </c>
      <c r="U72" s="8">
        <v>142875500</v>
      </c>
      <c r="V72" s="8">
        <v>94648700</v>
      </c>
      <c r="W72" s="8">
        <v>30741.7</v>
      </c>
      <c r="X72" s="8">
        <v>10590.7</v>
      </c>
      <c r="Y72" s="8">
        <v>87070.8</v>
      </c>
      <c r="Z72" s="8">
        <v>22211</v>
      </c>
      <c r="AA72" s="8">
        <v>0</v>
      </c>
      <c r="AB72" s="8">
        <v>3279.5</v>
      </c>
      <c r="AC72" s="8">
        <v>19959.7</v>
      </c>
      <c r="AD72" s="8">
        <v>4705.8999999999996</v>
      </c>
      <c r="AE72" s="8">
        <v>5203</v>
      </c>
      <c r="AF72" s="8">
        <v>56769.2</v>
      </c>
      <c r="AG72" s="8">
        <v>25146.2</v>
      </c>
      <c r="AH72" s="8">
        <v>41579.300000000003</v>
      </c>
      <c r="AI72" s="8">
        <v>122966.7</v>
      </c>
    </row>
    <row r="73" spans="1:35" hidden="1">
      <c r="A73" t="s">
        <v>34</v>
      </c>
      <c r="B73" t="s">
        <v>46</v>
      </c>
      <c r="C73">
        <v>2050</v>
      </c>
      <c r="D73">
        <v>1069900400</v>
      </c>
      <c r="E73">
        <v>941632.4</v>
      </c>
      <c r="F73">
        <v>1001337500</v>
      </c>
      <c r="G73" s="8">
        <v>29053292</v>
      </c>
      <c r="H73" s="8">
        <v>4341244.5</v>
      </c>
      <c r="I73" s="8">
        <v>0</v>
      </c>
      <c r="J73" s="8">
        <v>0</v>
      </c>
      <c r="K73" s="8">
        <v>0</v>
      </c>
      <c r="L73" s="8">
        <v>18618644</v>
      </c>
      <c r="M73" s="8">
        <v>371955620</v>
      </c>
      <c r="N73" s="8">
        <v>8414265</v>
      </c>
      <c r="O73" s="8">
        <v>0</v>
      </c>
      <c r="P73" s="8">
        <v>9455776</v>
      </c>
      <c r="Q73" s="8">
        <v>175753300</v>
      </c>
      <c r="R73" s="8">
        <v>542974.19999999995</v>
      </c>
      <c r="S73" s="8">
        <v>3993194.5</v>
      </c>
      <c r="T73" s="8">
        <v>129485970</v>
      </c>
      <c r="U73" s="8">
        <v>154830190</v>
      </c>
      <c r="V73" s="8">
        <v>94892984</v>
      </c>
      <c r="W73" s="8">
        <v>28368.2</v>
      </c>
      <c r="X73" s="8">
        <v>12978.7</v>
      </c>
      <c r="Y73" s="8">
        <v>90585.3</v>
      </c>
      <c r="Z73" s="8">
        <v>33923.1</v>
      </c>
      <c r="AA73" s="8">
        <v>0</v>
      </c>
      <c r="AB73" s="8">
        <v>3279.5</v>
      </c>
      <c r="AC73" s="8">
        <v>22003.9</v>
      </c>
      <c r="AD73" s="8">
        <v>2200.3000000000002</v>
      </c>
      <c r="AE73" s="8">
        <v>5203</v>
      </c>
      <c r="AF73" s="8">
        <v>61478.400000000001</v>
      </c>
      <c r="AG73" s="8">
        <v>25146.2</v>
      </c>
      <c r="AH73" s="8">
        <v>45152.9</v>
      </c>
      <c r="AI73" s="8">
        <v>113472.9</v>
      </c>
    </row>
    <row r="74" spans="1:35" hidden="1">
      <c r="A74" t="s">
        <v>34</v>
      </c>
      <c r="B74" t="s">
        <v>47</v>
      </c>
      <c r="C74">
        <v>2025</v>
      </c>
      <c r="D74">
        <v>108721384</v>
      </c>
      <c r="E74">
        <v>0</v>
      </c>
      <c r="F74">
        <v>130027790</v>
      </c>
      <c r="G74" s="8">
        <v>1908960.2</v>
      </c>
      <c r="H74" s="8">
        <v>388265.3</v>
      </c>
      <c r="I74" s="8">
        <v>0</v>
      </c>
      <c r="J74" s="8">
        <v>0</v>
      </c>
      <c r="K74" s="8">
        <v>0</v>
      </c>
      <c r="L74" s="8">
        <v>176160.6</v>
      </c>
      <c r="M74" s="8">
        <v>21285432</v>
      </c>
      <c r="N74" s="8">
        <v>3334834</v>
      </c>
      <c r="O74" s="8">
        <v>0</v>
      </c>
      <c r="P74" s="8">
        <v>178472.8</v>
      </c>
      <c r="Q74" s="8">
        <v>93222180</v>
      </c>
      <c r="R74" s="8">
        <v>60059</v>
      </c>
      <c r="S74" s="8">
        <v>0</v>
      </c>
      <c r="T74" s="8">
        <v>3173194.2</v>
      </c>
      <c r="U74" s="8">
        <v>6300242</v>
      </c>
      <c r="V74" s="8">
        <v>0</v>
      </c>
      <c r="W74" s="8">
        <v>2205</v>
      </c>
      <c r="X74" s="8">
        <v>119.7</v>
      </c>
      <c r="Y74" s="8">
        <v>6502.8</v>
      </c>
      <c r="Z74" s="8">
        <v>8146.7</v>
      </c>
      <c r="AA74" s="8">
        <v>0</v>
      </c>
      <c r="AB74" s="8">
        <v>59.1</v>
      </c>
      <c r="AC74" s="8">
        <v>11671.2</v>
      </c>
      <c r="AD74" s="8">
        <v>401.5</v>
      </c>
      <c r="AE74" s="8">
        <v>0</v>
      </c>
      <c r="AF74" s="8">
        <v>1503.6</v>
      </c>
      <c r="AG74" s="8">
        <v>0</v>
      </c>
      <c r="AH74" s="8">
        <v>1959</v>
      </c>
      <c r="AI74" s="8">
        <v>8820</v>
      </c>
    </row>
    <row r="75" spans="1:35">
      <c r="A75" t="s">
        <v>34</v>
      </c>
      <c r="B75" t="s">
        <v>47</v>
      </c>
      <c r="C75">
        <v>2030</v>
      </c>
      <c r="D75">
        <v>117765656</v>
      </c>
      <c r="E75">
        <v>44.3</v>
      </c>
      <c r="F75">
        <v>142647760</v>
      </c>
      <c r="G75" s="8">
        <v>2018027</v>
      </c>
      <c r="H75" s="8">
        <v>388265.3</v>
      </c>
      <c r="I75" s="8">
        <v>0</v>
      </c>
      <c r="J75" s="8">
        <v>0</v>
      </c>
      <c r="K75" s="8">
        <v>0</v>
      </c>
      <c r="L75" s="8">
        <v>276630.3</v>
      </c>
      <c r="M75" s="8">
        <v>19459562</v>
      </c>
      <c r="N75" s="8">
        <v>3401957.5</v>
      </c>
      <c r="O75" s="8">
        <v>0</v>
      </c>
      <c r="P75" s="8">
        <v>178472.8</v>
      </c>
      <c r="Q75" s="8">
        <v>93222180</v>
      </c>
      <c r="R75" s="8">
        <v>56343.4</v>
      </c>
      <c r="S75" s="8">
        <v>0</v>
      </c>
      <c r="T75" s="8">
        <v>6423523</v>
      </c>
      <c r="U75" s="8">
        <v>17222808</v>
      </c>
      <c r="V75" s="8">
        <v>0</v>
      </c>
      <c r="W75" s="8">
        <v>2205</v>
      </c>
      <c r="X75" s="8">
        <v>187.8</v>
      </c>
      <c r="Y75" s="8">
        <v>6502.8</v>
      </c>
      <c r="Z75" s="8">
        <v>8150.2</v>
      </c>
      <c r="AA75" s="8">
        <v>0</v>
      </c>
      <c r="AB75" s="8">
        <v>59.1</v>
      </c>
      <c r="AC75" s="8">
        <v>11671.2</v>
      </c>
      <c r="AD75" s="8">
        <v>52.7</v>
      </c>
      <c r="AE75" s="8">
        <v>0</v>
      </c>
      <c r="AF75" s="8">
        <v>3012.5</v>
      </c>
      <c r="AG75" s="8">
        <v>0</v>
      </c>
      <c r="AH75" s="8">
        <v>4765.5</v>
      </c>
      <c r="AI75" s="8">
        <v>8820</v>
      </c>
    </row>
    <row r="76" spans="1:35" hidden="1">
      <c r="A76" t="s">
        <v>34</v>
      </c>
      <c r="B76" t="s">
        <v>47</v>
      </c>
      <c r="C76">
        <v>2035</v>
      </c>
      <c r="D76">
        <v>133569050</v>
      </c>
      <c r="E76">
        <v>560218.1</v>
      </c>
      <c r="F76">
        <v>144352320</v>
      </c>
      <c r="G76" s="8">
        <v>4412012</v>
      </c>
      <c r="H76" s="8">
        <v>388265.3</v>
      </c>
      <c r="I76" s="8">
        <v>0</v>
      </c>
      <c r="J76" s="8">
        <v>0</v>
      </c>
      <c r="K76" s="8">
        <v>0</v>
      </c>
      <c r="L76" s="8">
        <v>606603.5</v>
      </c>
      <c r="M76" s="8">
        <v>17338318</v>
      </c>
      <c r="N76" s="8">
        <v>2337967</v>
      </c>
      <c r="O76" s="8">
        <v>0</v>
      </c>
      <c r="P76" s="8">
        <v>178472.8</v>
      </c>
      <c r="Q76" s="8">
        <v>93222180</v>
      </c>
      <c r="R76" s="8">
        <v>41506.5</v>
      </c>
      <c r="S76" s="8">
        <v>0</v>
      </c>
      <c r="T76" s="8">
        <v>6398316.5</v>
      </c>
      <c r="U76" s="8">
        <v>19428694</v>
      </c>
      <c r="V76" s="8">
        <v>0</v>
      </c>
      <c r="W76" s="8">
        <v>4153.6000000000004</v>
      </c>
      <c r="X76" s="8">
        <v>413.2</v>
      </c>
      <c r="Y76" s="8">
        <v>6502.8</v>
      </c>
      <c r="Z76" s="8">
        <v>8152.1</v>
      </c>
      <c r="AA76" s="8">
        <v>0</v>
      </c>
      <c r="AB76" s="8">
        <v>59.1</v>
      </c>
      <c r="AC76" s="8">
        <v>11671.2</v>
      </c>
      <c r="AD76" s="8">
        <v>52.7</v>
      </c>
      <c r="AE76" s="8">
        <v>0</v>
      </c>
      <c r="AF76" s="8">
        <v>3012.5</v>
      </c>
      <c r="AG76" s="8">
        <v>0</v>
      </c>
      <c r="AH76" s="8">
        <v>5491.5</v>
      </c>
      <c r="AI76" s="8">
        <v>16614.3</v>
      </c>
    </row>
    <row r="77" spans="1:35" hidden="1">
      <c r="A77" t="s">
        <v>34</v>
      </c>
      <c r="B77" t="s">
        <v>47</v>
      </c>
      <c r="C77">
        <v>2040</v>
      </c>
      <c r="D77">
        <v>145841920</v>
      </c>
      <c r="E77">
        <v>368693.4</v>
      </c>
      <c r="F77">
        <v>148182900</v>
      </c>
      <c r="G77" s="8">
        <v>6323304</v>
      </c>
      <c r="H77" s="8">
        <v>388265.3</v>
      </c>
      <c r="I77" s="8">
        <v>0</v>
      </c>
      <c r="J77" s="8">
        <v>0</v>
      </c>
      <c r="K77" s="8">
        <v>0</v>
      </c>
      <c r="L77" s="8">
        <v>1138139</v>
      </c>
      <c r="M77" s="8">
        <v>17729304</v>
      </c>
      <c r="N77" s="8">
        <v>2116071.2000000002</v>
      </c>
      <c r="O77" s="8">
        <v>0</v>
      </c>
      <c r="P77" s="8">
        <v>178472.8</v>
      </c>
      <c r="Q77" s="8">
        <v>93222180</v>
      </c>
      <c r="R77" s="8">
        <v>41667.9</v>
      </c>
      <c r="S77" s="8">
        <v>0</v>
      </c>
      <c r="T77" s="8">
        <v>6503530.5</v>
      </c>
      <c r="U77" s="8">
        <v>20541966</v>
      </c>
      <c r="V77" s="8">
        <v>0</v>
      </c>
      <c r="W77" s="8">
        <v>6618.8</v>
      </c>
      <c r="X77" s="8">
        <v>773.7</v>
      </c>
      <c r="Y77" s="8">
        <v>6502.8</v>
      </c>
      <c r="Z77" s="8">
        <v>8146.1</v>
      </c>
      <c r="AA77" s="8">
        <v>0</v>
      </c>
      <c r="AB77" s="8">
        <v>59.1</v>
      </c>
      <c r="AC77" s="8">
        <v>11671.2</v>
      </c>
      <c r="AD77" s="8">
        <v>52.7</v>
      </c>
      <c r="AE77" s="8">
        <v>0</v>
      </c>
      <c r="AF77" s="8">
        <v>3012.5</v>
      </c>
      <c r="AG77" s="8">
        <v>0</v>
      </c>
      <c r="AH77" s="8">
        <v>5707.5</v>
      </c>
      <c r="AI77" s="8">
        <v>26475.200000000001</v>
      </c>
    </row>
    <row r="78" spans="1:35" hidden="1">
      <c r="A78" t="s">
        <v>34</v>
      </c>
      <c r="B78" t="s">
        <v>47</v>
      </c>
      <c r="C78">
        <v>2045</v>
      </c>
      <c r="D78">
        <v>157731800</v>
      </c>
      <c r="E78">
        <v>251738.5</v>
      </c>
      <c r="F78">
        <v>148671580</v>
      </c>
      <c r="G78" s="8">
        <v>11316075</v>
      </c>
      <c r="H78" s="8">
        <v>388265.3</v>
      </c>
      <c r="I78" s="8">
        <v>0</v>
      </c>
      <c r="J78" s="8">
        <v>0</v>
      </c>
      <c r="K78" s="8">
        <v>0</v>
      </c>
      <c r="L78" s="8">
        <v>2018193.8</v>
      </c>
      <c r="M78" s="8">
        <v>5935224.5</v>
      </c>
      <c r="N78" s="8">
        <v>344278</v>
      </c>
      <c r="O78" s="8">
        <v>0</v>
      </c>
      <c r="P78" s="8">
        <v>178472.8</v>
      </c>
      <c r="Q78" s="8">
        <v>93222180</v>
      </c>
      <c r="R78" s="8">
        <v>0</v>
      </c>
      <c r="S78" s="8">
        <v>0</v>
      </c>
      <c r="T78" s="8">
        <v>10814762</v>
      </c>
      <c r="U78" s="8">
        <v>24454144</v>
      </c>
      <c r="V78" s="8">
        <v>0</v>
      </c>
      <c r="W78" s="8">
        <v>12723</v>
      </c>
      <c r="X78" s="8">
        <v>1368.3</v>
      </c>
      <c r="Y78" s="8">
        <v>2168.8000000000002</v>
      </c>
      <c r="Z78" s="8">
        <v>957.8</v>
      </c>
      <c r="AA78" s="8">
        <v>0</v>
      </c>
      <c r="AB78" s="8">
        <v>59.1</v>
      </c>
      <c r="AC78" s="8">
        <v>11671.2</v>
      </c>
      <c r="AD78" s="8">
        <v>0</v>
      </c>
      <c r="AE78" s="8">
        <v>0</v>
      </c>
      <c r="AF78" s="8">
        <v>4952.8999999999996</v>
      </c>
      <c r="AG78" s="8">
        <v>0</v>
      </c>
      <c r="AH78" s="8">
        <v>6665</v>
      </c>
      <c r="AI78" s="8">
        <v>50891.9</v>
      </c>
    </row>
    <row r="79" spans="1:35" hidden="1">
      <c r="A79" t="s">
        <v>34</v>
      </c>
      <c r="B79" t="s">
        <v>47</v>
      </c>
      <c r="C79">
        <v>2050</v>
      </c>
      <c r="D79">
        <v>167146640</v>
      </c>
      <c r="E79">
        <v>47124.5</v>
      </c>
      <c r="F79">
        <v>150714030</v>
      </c>
      <c r="G79" s="8">
        <v>13819293</v>
      </c>
      <c r="H79" s="8">
        <v>388265.3</v>
      </c>
      <c r="I79" s="8">
        <v>0</v>
      </c>
      <c r="J79" s="8">
        <v>0</v>
      </c>
      <c r="K79" s="8">
        <v>0</v>
      </c>
      <c r="L79" s="8">
        <v>3042716.8</v>
      </c>
      <c r="M79" s="8">
        <v>6010594</v>
      </c>
      <c r="N79" s="8">
        <v>382372</v>
      </c>
      <c r="O79" s="8">
        <v>0</v>
      </c>
      <c r="P79" s="8">
        <v>178472.8</v>
      </c>
      <c r="Q79" s="8">
        <v>86017560</v>
      </c>
      <c r="R79" s="8">
        <v>0</v>
      </c>
      <c r="S79" s="8">
        <v>0</v>
      </c>
      <c r="T79" s="8">
        <v>15361958</v>
      </c>
      <c r="U79" s="8">
        <v>25512798</v>
      </c>
      <c r="V79" s="8">
        <v>0</v>
      </c>
      <c r="W79" s="8">
        <v>14668.8</v>
      </c>
      <c r="X79" s="8">
        <v>2062.5</v>
      </c>
      <c r="Y79" s="8">
        <v>2168.8000000000002</v>
      </c>
      <c r="Z79" s="8">
        <v>957.8</v>
      </c>
      <c r="AA79" s="8">
        <v>0</v>
      </c>
      <c r="AB79" s="8">
        <v>59.1</v>
      </c>
      <c r="AC79" s="8">
        <v>10769.2</v>
      </c>
      <c r="AD79" s="8">
        <v>0</v>
      </c>
      <c r="AE79" s="8">
        <v>0</v>
      </c>
      <c r="AF79" s="8">
        <v>6988.4</v>
      </c>
      <c r="AG79" s="8">
        <v>0</v>
      </c>
      <c r="AH79" s="8">
        <v>6850</v>
      </c>
      <c r="AI79" s="8">
        <v>58675.1</v>
      </c>
    </row>
    <row r="80" spans="1:35" hidden="1">
      <c r="A80" t="s">
        <v>34</v>
      </c>
      <c r="B80" t="s">
        <v>48</v>
      </c>
      <c r="C80">
        <v>2025</v>
      </c>
      <c r="D80">
        <v>652517760</v>
      </c>
      <c r="E80">
        <v>109.4</v>
      </c>
      <c r="F80">
        <v>661908160</v>
      </c>
      <c r="G80" s="8">
        <v>1676797.6</v>
      </c>
      <c r="H80" s="8">
        <v>4098943.2</v>
      </c>
      <c r="I80" s="8">
        <v>0</v>
      </c>
      <c r="J80" s="8">
        <v>182253300</v>
      </c>
      <c r="K80" s="8">
        <v>0</v>
      </c>
      <c r="L80" s="8">
        <v>2501176.7999999998</v>
      </c>
      <c r="M80" s="8">
        <v>156006480</v>
      </c>
      <c r="N80" s="8">
        <v>2111438.5</v>
      </c>
      <c r="O80" s="8">
        <v>0</v>
      </c>
      <c r="P80" s="8">
        <v>33546214</v>
      </c>
      <c r="Q80" s="8">
        <v>233058610</v>
      </c>
      <c r="R80" s="8">
        <v>970508.5</v>
      </c>
      <c r="S80" s="8">
        <v>5090475.5</v>
      </c>
      <c r="T80" s="8">
        <v>39144964</v>
      </c>
      <c r="U80" s="8">
        <v>1449286.1</v>
      </c>
      <c r="V80" s="8">
        <v>0</v>
      </c>
      <c r="W80" s="8">
        <v>1540.2</v>
      </c>
      <c r="X80" s="8">
        <v>1637.9</v>
      </c>
      <c r="Y80" s="8">
        <v>40915.4</v>
      </c>
      <c r="Z80" s="8">
        <v>26815.4</v>
      </c>
      <c r="AA80" s="8">
        <v>0</v>
      </c>
      <c r="AB80" s="8">
        <v>12077.7</v>
      </c>
      <c r="AC80" s="8">
        <v>29178.400000000001</v>
      </c>
      <c r="AD80" s="8">
        <v>5077.2</v>
      </c>
      <c r="AE80" s="8">
        <v>6475.7</v>
      </c>
      <c r="AF80" s="8">
        <v>18332.400000000001</v>
      </c>
      <c r="AG80" s="8">
        <v>0</v>
      </c>
      <c r="AH80" s="8">
        <v>516.1</v>
      </c>
      <c r="AI80" s="8">
        <v>6160.8</v>
      </c>
    </row>
    <row r="81" spans="1:35">
      <c r="A81" t="s">
        <v>34</v>
      </c>
      <c r="B81" t="s">
        <v>48</v>
      </c>
      <c r="C81">
        <v>2030</v>
      </c>
      <c r="D81">
        <v>699584600</v>
      </c>
      <c r="E81">
        <v>222.6</v>
      </c>
      <c r="F81">
        <v>707900900</v>
      </c>
      <c r="G81" s="8">
        <v>6630690</v>
      </c>
      <c r="H81" s="8">
        <v>4254640.5</v>
      </c>
      <c r="I81" s="8">
        <v>0</v>
      </c>
      <c r="J81" s="8">
        <v>102930210</v>
      </c>
      <c r="K81" s="8">
        <v>0</v>
      </c>
      <c r="L81" s="8">
        <v>5159188.5</v>
      </c>
      <c r="M81" s="8">
        <v>245799730</v>
      </c>
      <c r="N81" s="8">
        <v>2582082.2000000002</v>
      </c>
      <c r="O81" s="8">
        <v>0</v>
      </c>
      <c r="P81" s="8">
        <v>35572470</v>
      </c>
      <c r="Q81" s="8">
        <v>233058610</v>
      </c>
      <c r="R81" s="8">
        <v>749423.7</v>
      </c>
      <c r="S81" s="8">
        <v>4864649.5</v>
      </c>
      <c r="T81" s="8">
        <v>55252532</v>
      </c>
      <c r="U81" s="8">
        <v>11046717</v>
      </c>
      <c r="V81" s="8">
        <v>0</v>
      </c>
      <c r="W81" s="8">
        <v>5725.3</v>
      </c>
      <c r="X81" s="8">
        <v>3387.1</v>
      </c>
      <c r="Y81" s="8">
        <v>49596.9</v>
      </c>
      <c r="Z81" s="8">
        <v>26956.9</v>
      </c>
      <c r="AA81" s="8">
        <v>0</v>
      </c>
      <c r="AB81" s="8">
        <v>12676.8</v>
      </c>
      <c r="AC81" s="8">
        <v>29178.400000000001</v>
      </c>
      <c r="AD81" s="8">
        <v>4189.2</v>
      </c>
      <c r="AE81" s="8">
        <v>6475.7</v>
      </c>
      <c r="AF81" s="8">
        <v>25468.9</v>
      </c>
      <c r="AG81" s="8">
        <v>0</v>
      </c>
      <c r="AH81" s="8">
        <v>3468.7</v>
      </c>
      <c r="AI81" s="8">
        <v>22901.3</v>
      </c>
    </row>
    <row r="82" spans="1:35" hidden="1">
      <c r="A82" t="s">
        <v>34</v>
      </c>
      <c r="B82" t="s">
        <v>48</v>
      </c>
      <c r="C82">
        <v>2035</v>
      </c>
      <c r="D82">
        <v>784413250</v>
      </c>
      <c r="E82">
        <v>5568798</v>
      </c>
      <c r="F82">
        <v>826256600</v>
      </c>
      <c r="G82" s="8">
        <v>28918474</v>
      </c>
      <c r="H82" s="8">
        <v>3908450</v>
      </c>
      <c r="I82" s="8">
        <v>0</v>
      </c>
      <c r="J82" s="8">
        <v>0</v>
      </c>
      <c r="K82" s="8">
        <v>0</v>
      </c>
      <c r="L82" s="8">
        <v>7213030.5</v>
      </c>
      <c r="M82" s="8">
        <v>154207070</v>
      </c>
      <c r="N82" s="8">
        <v>3036980</v>
      </c>
      <c r="O82" s="8">
        <v>0</v>
      </c>
      <c r="P82" s="8">
        <v>35529670</v>
      </c>
      <c r="Q82" s="8">
        <v>233058610</v>
      </c>
      <c r="R82" s="8">
        <v>777846.4</v>
      </c>
      <c r="S82" s="8">
        <v>9131889</v>
      </c>
      <c r="T82" s="8">
        <v>202562350</v>
      </c>
      <c r="U82" s="8">
        <v>147912210</v>
      </c>
      <c r="V82" s="8">
        <v>0</v>
      </c>
      <c r="W82" s="8">
        <v>22557.200000000001</v>
      </c>
      <c r="X82" s="8">
        <v>4779.3</v>
      </c>
      <c r="Y82" s="8">
        <v>49476.9</v>
      </c>
      <c r="Z82" s="8">
        <v>26337.3</v>
      </c>
      <c r="AA82" s="8">
        <v>0</v>
      </c>
      <c r="AB82" s="8">
        <v>12676.8</v>
      </c>
      <c r="AC82" s="8">
        <v>29178.400000000001</v>
      </c>
      <c r="AD82" s="8">
        <v>3258.9</v>
      </c>
      <c r="AE82" s="8">
        <v>6475.7</v>
      </c>
      <c r="AF82" s="8">
        <v>94577.1</v>
      </c>
      <c r="AG82" s="8">
        <v>0</v>
      </c>
      <c r="AH82" s="8">
        <v>48248.1</v>
      </c>
      <c r="AI82" s="8">
        <v>90228.9</v>
      </c>
    </row>
    <row r="83" spans="1:35" hidden="1">
      <c r="A83" t="s">
        <v>34</v>
      </c>
      <c r="B83" t="s">
        <v>48</v>
      </c>
      <c r="C83">
        <v>2040</v>
      </c>
      <c r="D83">
        <v>867388740</v>
      </c>
      <c r="E83">
        <v>14248203</v>
      </c>
      <c r="F83">
        <v>929194700</v>
      </c>
      <c r="G83" s="8">
        <v>42940610</v>
      </c>
      <c r="H83" s="8">
        <v>3908450</v>
      </c>
      <c r="I83" s="8">
        <v>0</v>
      </c>
      <c r="J83" s="8">
        <v>0</v>
      </c>
      <c r="K83" s="8">
        <v>0</v>
      </c>
      <c r="L83" s="8">
        <v>8402041</v>
      </c>
      <c r="M83" s="8">
        <v>141833300</v>
      </c>
      <c r="N83" s="8">
        <v>2013546.2</v>
      </c>
      <c r="O83" s="8">
        <v>0</v>
      </c>
      <c r="P83" s="8">
        <v>35428776</v>
      </c>
      <c r="Q83" s="8">
        <v>233058610</v>
      </c>
      <c r="R83" s="8">
        <v>282336.40000000002</v>
      </c>
      <c r="S83" s="8">
        <v>10093304</v>
      </c>
      <c r="T83" s="8">
        <v>255590050</v>
      </c>
      <c r="U83" s="8">
        <v>195643650</v>
      </c>
      <c r="V83" s="8">
        <v>0</v>
      </c>
      <c r="W83" s="8">
        <v>33785.599999999999</v>
      </c>
      <c r="X83" s="8">
        <v>5597.6</v>
      </c>
      <c r="Y83" s="8">
        <v>51950.2</v>
      </c>
      <c r="Z83" s="8">
        <v>26337.3</v>
      </c>
      <c r="AA83" s="8">
        <v>0</v>
      </c>
      <c r="AB83" s="8">
        <v>12676.8</v>
      </c>
      <c r="AC83" s="8">
        <v>29178.400000000001</v>
      </c>
      <c r="AD83" s="8">
        <v>2476.6999999999998</v>
      </c>
      <c r="AE83" s="8">
        <v>6475.7</v>
      </c>
      <c r="AF83" s="8">
        <v>120373.2</v>
      </c>
      <c r="AG83" s="8">
        <v>0</v>
      </c>
      <c r="AH83" s="8">
        <v>64353.1</v>
      </c>
      <c r="AI83" s="8">
        <v>135142.39999999999</v>
      </c>
    </row>
    <row r="84" spans="1:35" hidden="1">
      <c r="A84" t="s">
        <v>34</v>
      </c>
      <c r="B84" t="s">
        <v>48</v>
      </c>
      <c r="C84">
        <v>2045</v>
      </c>
      <c r="D84">
        <v>949827800</v>
      </c>
      <c r="E84">
        <v>30871140</v>
      </c>
      <c r="F84">
        <v>1028375400</v>
      </c>
      <c r="G84" s="8">
        <v>51252204</v>
      </c>
      <c r="H84" s="8">
        <v>3319189.2</v>
      </c>
      <c r="I84" s="8">
        <v>0</v>
      </c>
      <c r="J84" s="8">
        <v>0</v>
      </c>
      <c r="K84" s="8">
        <v>0</v>
      </c>
      <c r="L84" s="8">
        <v>10258293</v>
      </c>
      <c r="M84" s="8">
        <v>142469550</v>
      </c>
      <c r="N84" s="8">
        <v>2204074.7999999998</v>
      </c>
      <c r="O84" s="8">
        <v>0</v>
      </c>
      <c r="P84" s="8">
        <v>35319344</v>
      </c>
      <c r="Q84" s="8">
        <v>233058610</v>
      </c>
      <c r="R84" s="8">
        <v>165440.4</v>
      </c>
      <c r="S84" s="8">
        <v>11131553</v>
      </c>
      <c r="T84" s="8">
        <v>313654660</v>
      </c>
      <c r="U84" s="8">
        <v>225542480</v>
      </c>
      <c r="V84" s="8">
        <v>0</v>
      </c>
      <c r="W84" s="8">
        <v>39602.5</v>
      </c>
      <c r="X84" s="8">
        <v>6878.6</v>
      </c>
      <c r="Y84" s="8">
        <v>57619.4</v>
      </c>
      <c r="Z84" s="8">
        <v>34683.800000000003</v>
      </c>
      <c r="AA84" s="8">
        <v>0</v>
      </c>
      <c r="AB84" s="8">
        <v>12676.8</v>
      </c>
      <c r="AC84" s="8">
        <v>29178.400000000001</v>
      </c>
      <c r="AD84" s="8">
        <v>1865.8</v>
      </c>
      <c r="AE84" s="8">
        <v>6475.7</v>
      </c>
      <c r="AF84" s="8">
        <v>150172.4</v>
      </c>
      <c r="AG84" s="8">
        <v>0</v>
      </c>
      <c r="AH84" s="8">
        <v>75150</v>
      </c>
      <c r="AI84" s="8">
        <v>158410.1</v>
      </c>
    </row>
    <row r="85" spans="1:35" hidden="1">
      <c r="A85" t="s">
        <v>34</v>
      </c>
      <c r="B85" t="s">
        <v>48</v>
      </c>
      <c r="C85">
        <v>2050</v>
      </c>
      <c r="D85">
        <v>1024535700</v>
      </c>
      <c r="E85">
        <v>42046004</v>
      </c>
      <c r="F85">
        <v>1132377700</v>
      </c>
      <c r="G85" s="8">
        <v>77470460</v>
      </c>
      <c r="H85" s="8">
        <v>3305931</v>
      </c>
      <c r="I85" s="8">
        <v>0</v>
      </c>
      <c r="J85" s="8">
        <v>0</v>
      </c>
      <c r="K85" s="8">
        <v>0</v>
      </c>
      <c r="L85" s="8">
        <v>13360103</v>
      </c>
      <c r="M85" s="8">
        <v>138902320</v>
      </c>
      <c r="N85" s="8">
        <v>1228251.8999999999</v>
      </c>
      <c r="O85" s="8">
        <v>0</v>
      </c>
      <c r="P85" s="8">
        <v>35246868</v>
      </c>
      <c r="Q85" s="8">
        <v>233058610</v>
      </c>
      <c r="R85" s="8">
        <v>48716.4</v>
      </c>
      <c r="S85" s="8">
        <v>10389722</v>
      </c>
      <c r="T85" s="8">
        <v>379541440</v>
      </c>
      <c r="U85" s="8">
        <v>239825310</v>
      </c>
      <c r="V85" s="8">
        <v>0</v>
      </c>
      <c r="W85" s="8">
        <v>60997.5</v>
      </c>
      <c r="X85" s="8">
        <v>8921.6</v>
      </c>
      <c r="Y85" s="8">
        <v>62406.9</v>
      </c>
      <c r="Z85" s="8">
        <v>35713.699999999997</v>
      </c>
      <c r="AA85" s="8">
        <v>0</v>
      </c>
      <c r="AB85" s="8">
        <v>12676.8</v>
      </c>
      <c r="AC85" s="8">
        <v>29178.400000000001</v>
      </c>
      <c r="AD85" s="8">
        <v>560.29999999999995</v>
      </c>
      <c r="AE85" s="8">
        <v>6475.7</v>
      </c>
      <c r="AF85" s="8">
        <v>182806.8</v>
      </c>
      <c r="AG85" s="8">
        <v>0</v>
      </c>
      <c r="AH85" s="8">
        <v>80037.2</v>
      </c>
      <c r="AI85" s="8">
        <v>243990.1</v>
      </c>
    </row>
    <row r="86" spans="1:35" hidden="1">
      <c r="A86" t="s">
        <v>34</v>
      </c>
      <c r="B86" t="s">
        <v>49</v>
      </c>
      <c r="C86">
        <v>2025</v>
      </c>
      <c r="D86">
        <v>57102880</v>
      </c>
      <c r="E86">
        <v>84564.9</v>
      </c>
      <c r="F86">
        <v>72008790</v>
      </c>
      <c r="G86" s="8">
        <v>2141.5</v>
      </c>
      <c r="H86" s="8">
        <v>50348.1</v>
      </c>
      <c r="I86" s="8">
        <v>120851.4</v>
      </c>
      <c r="J86" s="8">
        <v>15566342</v>
      </c>
      <c r="K86" s="8">
        <v>0</v>
      </c>
      <c r="L86" s="8">
        <v>56547.3</v>
      </c>
      <c r="M86" s="8">
        <v>878329.2</v>
      </c>
      <c r="N86" s="8">
        <v>378323.7</v>
      </c>
      <c r="O86" s="8">
        <v>0</v>
      </c>
      <c r="P86" s="8">
        <v>8633055</v>
      </c>
      <c r="Q86" s="8">
        <v>6150273.5</v>
      </c>
      <c r="R86" s="8">
        <v>9179.5</v>
      </c>
      <c r="S86" s="8">
        <v>0</v>
      </c>
      <c r="T86" s="8">
        <v>580631</v>
      </c>
      <c r="U86" s="8">
        <v>39582772</v>
      </c>
      <c r="V86" s="8">
        <v>0</v>
      </c>
      <c r="W86" s="8">
        <v>1.7</v>
      </c>
      <c r="X86" s="8">
        <v>34.1</v>
      </c>
      <c r="Y86" s="8">
        <v>678.8</v>
      </c>
      <c r="Z86" s="8">
        <v>3864.6</v>
      </c>
      <c r="AA86" s="8">
        <v>0</v>
      </c>
      <c r="AB86" s="8">
        <v>2431.1</v>
      </c>
      <c r="AC86" s="8">
        <v>770</v>
      </c>
      <c r="AD86" s="8">
        <v>441.2</v>
      </c>
      <c r="AE86" s="8">
        <v>0</v>
      </c>
      <c r="AF86" s="8">
        <v>275.3</v>
      </c>
      <c r="AG86" s="8">
        <v>0</v>
      </c>
      <c r="AH86" s="8">
        <v>10960.1</v>
      </c>
      <c r="AI86" s="8">
        <v>6.8</v>
      </c>
    </row>
    <row r="87" spans="1:35">
      <c r="A87" t="s">
        <v>34</v>
      </c>
      <c r="B87" t="s">
        <v>49</v>
      </c>
      <c r="C87">
        <v>2030</v>
      </c>
      <c r="D87">
        <v>64134456</v>
      </c>
      <c r="E87">
        <v>5028356</v>
      </c>
      <c r="F87">
        <v>73026410</v>
      </c>
      <c r="G87" s="8">
        <v>2373.6999999999998</v>
      </c>
      <c r="H87" s="8">
        <v>50348.1</v>
      </c>
      <c r="I87" s="8">
        <v>109103.3</v>
      </c>
      <c r="J87" s="8">
        <v>5867818.5</v>
      </c>
      <c r="K87" s="8">
        <v>0</v>
      </c>
      <c r="L87" s="8">
        <v>75606.399999999994</v>
      </c>
      <c r="M87" s="8">
        <v>1038880.7</v>
      </c>
      <c r="N87" s="8">
        <v>486234.6</v>
      </c>
      <c r="O87" s="8">
        <v>0</v>
      </c>
      <c r="P87" s="8">
        <v>8368721</v>
      </c>
      <c r="Q87" s="8">
        <v>6150273.5</v>
      </c>
      <c r="R87" s="8">
        <v>7201.1</v>
      </c>
      <c r="S87" s="8">
        <v>0</v>
      </c>
      <c r="T87" s="8">
        <v>2354596.7999999998</v>
      </c>
      <c r="U87" s="8">
        <v>48515250</v>
      </c>
      <c r="V87" s="8">
        <v>0</v>
      </c>
      <c r="W87" s="8">
        <v>1.7</v>
      </c>
      <c r="X87" s="8">
        <v>48.1</v>
      </c>
      <c r="Y87" s="8">
        <v>678.8</v>
      </c>
      <c r="Z87" s="8">
        <v>3452.9</v>
      </c>
      <c r="AA87" s="8">
        <v>0</v>
      </c>
      <c r="AB87" s="8">
        <v>2583.1</v>
      </c>
      <c r="AC87" s="8">
        <v>770</v>
      </c>
      <c r="AD87" s="8">
        <v>53.1</v>
      </c>
      <c r="AE87" s="8">
        <v>0</v>
      </c>
      <c r="AF87" s="8">
        <v>1053.9000000000001</v>
      </c>
      <c r="AG87" s="8">
        <v>0</v>
      </c>
      <c r="AH87" s="8">
        <v>12970.5</v>
      </c>
      <c r="AI87" s="8">
        <v>6.8</v>
      </c>
    </row>
    <row r="88" spans="1:35" hidden="1">
      <c r="A88" t="s">
        <v>34</v>
      </c>
      <c r="B88" t="s">
        <v>49</v>
      </c>
      <c r="C88">
        <v>2035</v>
      </c>
      <c r="D88">
        <v>74613520</v>
      </c>
      <c r="E88">
        <v>14052717</v>
      </c>
      <c r="F88">
        <v>90396640</v>
      </c>
      <c r="G88" s="8">
        <v>161005.6</v>
      </c>
      <c r="H88" s="8">
        <v>50348.1</v>
      </c>
      <c r="I88" s="8">
        <v>102747.5</v>
      </c>
      <c r="J88" s="8">
        <v>0</v>
      </c>
      <c r="K88" s="8">
        <v>0</v>
      </c>
      <c r="L88" s="8">
        <v>105705</v>
      </c>
      <c r="M88" s="8">
        <v>851190.2</v>
      </c>
      <c r="N88" s="8">
        <v>981601.8</v>
      </c>
      <c r="O88" s="8">
        <v>0</v>
      </c>
      <c r="P88" s="8">
        <v>7826402.5</v>
      </c>
      <c r="Q88" s="8">
        <v>6150273.5</v>
      </c>
      <c r="R88" s="8">
        <v>10626.7</v>
      </c>
      <c r="S88" s="8">
        <v>0</v>
      </c>
      <c r="T88" s="8">
        <v>7869105</v>
      </c>
      <c r="U88" s="8">
        <v>66287628</v>
      </c>
      <c r="V88" s="8">
        <v>0</v>
      </c>
      <c r="W88" s="8">
        <v>132.9</v>
      </c>
      <c r="X88" s="8">
        <v>71.400000000000006</v>
      </c>
      <c r="Y88" s="8">
        <v>685.5</v>
      </c>
      <c r="Z88" s="8">
        <v>3620.6</v>
      </c>
      <c r="AA88" s="8">
        <v>0</v>
      </c>
      <c r="AB88" s="8">
        <v>2609.1</v>
      </c>
      <c r="AC88" s="8">
        <v>770</v>
      </c>
      <c r="AD88" s="8">
        <v>51.1</v>
      </c>
      <c r="AE88" s="8">
        <v>0</v>
      </c>
      <c r="AF88" s="8">
        <v>3583.1</v>
      </c>
      <c r="AG88" s="8">
        <v>0</v>
      </c>
      <c r="AH88" s="8">
        <v>19504.2</v>
      </c>
      <c r="AI88" s="8">
        <v>531.6</v>
      </c>
    </row>
    <row r="89" spans="1:35" hidden="1">
      <c r="A89" t="s">
        <v>34</v>
      </c>
      <c r="B89" t="s">
        <v>49</v>
      </c>
      <c r="C89">
        <v>2040</v>
      </c>
      <c r="D89">
        <v>82424530</v>
      </c>
      <c r="E89">
        <v>17185366</v>
      </c>
      <c r="F89">
        <v>99984760</v>
      </c>
      <c r="G89" s="8">
        <v>975606.1</v>
      </c>
      <c r="H89" s="8">
        <v>50348.1</v>
      </c>
      <c r="I89" s="8">
        <v>101028.5</v>
      </c>
      <c r="J89" s="8">
        <v>0</v>
      </c>
      <c r="K89" s="8">
        <v>0</v>
      </c>
      <c r="L89" s="8">
        <v>156090</v>
      </c>
      <c r="M89" s="8">
        <v>755914.3</v>
      </c>
      <c r="N89" s="8">
        <v>746652.3</v>
      </c>
      <c r="O89" s="8">
        <v>0</v>
      </c>
      <c r="P89" s="8">
        <v>7663411</v>
      </c>
      <c r="Q89" s="8">
        <v>6150273.5</v>
      </c>
      <c r="R89" s="8">
        <v>7872.7</v>
      </c>
      <c r="S89" s="8">
        <v>0</v>
      </c>
      <c r="T89" s="8">
        <v>12527714</v>
      </c>
      <c r="U89" s="8">
        <v>70849850</v>
      </c>
      <c r="V89" s="8">
        <v>0</v>
      </c>
      <c r="W89" s="8">
        <v>835.5</v>
      </c>
      <c r="X89" s="8">
        <v>103.3</v>
      </c>
      <c r="Y89" s="8">
        <v>690.5</v>
      </c>
      <c r="Z89" s="8">
        <v>3654.4</v>
      </c>
      <c r="AA89" s="8">
        <v>0</v>
      </c>
      <c r="AB89" s="8">
        <v>2609.1</v>
      </c>
      <c r="AC89" s="8">
        <v>770</v>
      </c>
      <c r="AD89" s="8">
        <v>51.1</v>
      </c>
      <c r="AE89" s="8">
        <v>0</v>
      </c>
      <c r="AF89" s="8">
        <v>6175.1</v>
      </c>
      <c r="AG89" s="8">
        <v>0</v>
      </c>
      <c r="AH89" s="8">
        <v>20565.900000000001</v>
      </c>
      <c r="AI89" s="8">
        <v>3342.1</v>
      </c>
    </row>
    <row r="90" spans="1:35" hidden="1">
      <c r="A90" t="s">
        <v>34</v>
      </c>
      <c r="B90" t="s">
        <v>49</v>
      </c>
      <c r="C90">
        <v>2045</v>
      </c>
      <c r="D90">
        <v>89300220</v>
      </c>
      <c r="E90">
        <v>20658182</v>
      </c>
      <c r="F90">
        <v>109046424</v>
      </c>
      <c r="G90" s="8">
        <v>991506.4</v>
      </c>
      <c r="H90" s="8">
        <v>50348.1</v>
      </c>
      <c r="I90" s="8">
        <v>100235.4</v>
      </c>
      <c r="J90" s="8">
        <v>0</v>
      </c>
      <c r="K90" s="8">
        <v>0</v>
      </c>
      <c r="L90" s="8">
        <v>249074.7</v>
      </c>
      <c r="M90" s="8">
        <v>737798</v>
      </c>
      <c r="N90" s="8">
        <v>700943.2</v>
      </c>
      <c r="O90" s="8">
        <v>0</v>
      </c>
      <c r="P90" s="8">
        <v>7646048</v>
      </c>
      <c r="Q90" s="8">
        <v>6150273.5</v>
      </c>
      <c r="R90" s="8">
        <v>6664.1</v>
      </c>
      <c r="S90" s="8">
        <v>0</v>
      </c>
      <c r="T90" s="8">
        <v>12477924</v>
      </c>
      <c r="U90" s="8">
        <v>79935620</v>
      </c>
      <c r="V90" s="8">
        <v>0</v>
      </c>
      <c r="W90" s="8">
        <v>835.5</v>
      </c>
      <c r="X90" s="8">
        <v>161.6</v>
      </c>
      <c r="Y90" s="8">
        <v>690.5</v>
      </c>
      <c r="Z90" s="8">
        <v>3723</v>
      </c>
      <c r="AA90" s="8">
        <v>0</v>
      </c>
      <c r="AB90" s="8">
        <v>2609.1</v>
      </c>
      <c r="AC90" s="8">
        <v>770</v>
      </c>
      <c r="AD90" s="8">
        <v>51.1</v>
      </c>
      <c r="AE90" s="8">
        <v>0</v>
      </c>
      <c r="AF90" s="8">
        <v>6175.1</v>
      </c>
      <c r="AG90" s="8">
        <v>0</v>
      </c>
      <c r="AH90" s="8">
        <v>23320.6</v>
      </c>
      <c r="AI90" s="8">
        <v>3342.1</v>
      </c>
    </row>
    <row r="91" spans="1:35" hidden="1">
      <c r="A91" t="s">
        <v>34</v>
      </c>
      <c r="B91" t="s">
        <v>49</v>
      </c>
      <c r="C91">
        <v>2050</v>
      </c>
      <c r="D91">
        <v>94898470</v>
      </c>
      <c r="E91">
        <v>23897332</v>
      </c>
      <c r="F91">
        <v>116303550</v>
      </c>
      <c r="G91" s="8">
        <v>863877</v>
      </c>
      <c r="H91" s="8">
        <v>50348.1</v>
      </c>
      <c r="I91" s="8">
        <v>97600.7</v>
      </c>
      <c r="J91" s="8">
        <v>0</v>
      </c>
      <c r="K91" s="8">
        <v>0</v>
      </c>
      <c r="L91" s="8">
        <v>382377.6</v>
      </c>
      <c r="M91" s="8">
        <v>730892.4</v>
      </c>
      <c r="N91" s="8">
        <v>715604.1</v>
      </c>
      <c r="O91" s="8">
        <v>0</v>
      </c>
      <c r="P91" s="8">
        <v>7589301.5</v>
      </c>
      <c r="Q91" s="8">
        <v>6150273.5</v>
      </c>
      <c r="R91" s="8">
        <v>5326.4</v>
      </c>
      <c r="S91" s="8">
        <v>0</v>
      </c>
      <c r="T91" s="8">
        <v>13070204</v>
      </c>
      <c r="U91" s="8">
        <v>86647750</v>
      </c>
      <c r="V91" s="8">
        <v>0</v>
      </c>
      <c r="W91" s="8">
        <v>719.1</v>
      </c>
      <c r="X91" s="8">
        <v>247.5</v>
      </c>
      <c r="Y91" s="8">
        <v>690.5</v>
      </c>
      <c r="Z91" s="8">
        <v>3764.3</v>
      </c>
      <c r="AA91" s="8">
        <v>0</v>
      </c>
      <c r="AB91" s="8">
        <v>2609.1</v>
      </c>
      <c r="AC91" s="8">
        <v>770</v>
      </c>
      <c r="AD91" s="8">
        <v>24.1</v>
      </c>
      <c r="AE91" s="8">
        <v>0</v>
      </c>
      <c r="AF91" s="8">
        <v>6439.1</v>
      </c>
      <c r="AG91" s="8">
        <v>0</v>
      </c>
      <c r="AH91" s="8">
        <v>25613.4</v>
      </c>
      <c r="AI91" s="8">
        <v>2876.5</v>
      </c>
    </row>
    <row r="92" spans="1:35" hidden="1">
      <c r="A92" t="s">
        <v>34</v>
      </c>
      <c r="B92" t="s">
        <v>50</v>
      </c>
      <c r="C92">
        <v>2025</v>
      </c>
      <c r="D92">
        <v>221456690</v>
      </c>
      <c r="E92">
        <v>7332245</v>
      </c>
      <c r="F92">
        <v>231459150</v>
      </c>
      <c r="G92" s="8">
        <v>396978.6</v>
      </c>
      <c r="H92" s="8">
        <v>117173.8</v>
      </c>
      <c r="I92" s="8">
        <v>0</v>
      </c>
      <c r="J92" s="8">
        <v>43692056</v>
      </c>
      <c r="K92" s="8">
        <v>0</v>
      </c>
      <c r="L92" s="8">
        <v>433990</v>
      </c>
      <c r="M92" s="8">
        <v>30166970</v>
      </c>
      <c r="N92" s="8">
        <v>1212400.2</v>
      </c>
      <c r="O92" s="8">
        <v>0</v>
      </c>
      <c r="P92" s="8">
        <v>3390220.5</v>
      </c>
      <c r="Q92" s="8">
        <v>9784525</v>
      </c>
      <c r="R92" s="8">
        <v>3067975</v>
      </c>
      <c r="S92" s="8">
        <v>738375.4</v>
      </c>
      <c r="T92" s="8">
        <v>9767289</v>
      </c>
      <c r="U92" s="8">
        <v>128691200</v>
      </c>
      <c r="V92" s="8">
        <v>0</v>
      </c>
      <c r="W92" s="8">
        <v>311.10000000000002</v>
      </c>
      <c r="X92" s="8">
        <v>258.60000000000002</v>
      </c>
      <c r="Y92" s="8">
        <v>11232.1</v>
      </c>
      <c r="Z92" s="8">
        <v>8892.1</v>
      </c>
      <c r="AA92" s="8">
        <v>0</v>
      </c>
      <c r="AB92" s="8">
        <v>1513.3</v>
      </c>
      <c r="AC92" s="8">
        <v>1225</v>
      </c>
      <c r="AD92" s="8">
        <v>9668.7000000000007</v>
      </c>
      <c r="AE92" s="8">
        <v>444</v>
      </c>
      <c r="AF92" s="8">
        <v>3886.7</v>
      </c>
      <c r="AG92" s="8">
        <v>0</v>
      </c>
      <c r="AH92" s="8">
        <v>36705.1</v>
      </c>
      <c r="AI92" s="8">
        <v>1244.4000000000001</v>
      </c>
    </row>
    <row r="93" spans="1:35">
      <c r="A93" t="s">
        <v>34</v>
      </c>
      <c r="B93" t="s">
        <v>50</v>
      </c>
      <c r="C93">
        <v>2030</v>
      </c>
      <c r="D93">
        <v>240584220</v>
      </c>
      <c r="E93">
        <v>23744356</v>
      </c>
      <c r="F93">
        <v>253636700</v>
      </c>
      <c r="G93" s="8">
        <v>399497.6</v>
      </c>
      <c r="H93" s="8">
        <v>117173.8</v>
      </c>
      <c r="I93" s="8">
        <v>0</v>
      </c>
      <c r="J93" s="8">
        <v>12922326</v>
      </c>
      <c r="K93" s="8">
        <v>0</v>
      </c>
      <c r="L93" s="8">
        <v>752244.5</v>
      </c>
      <c r="M93" s="8">
        <v>22839138</v>
      </c>
      <c r="N93" s="8">
        <v>937467.6</v>
      </c>
      <c r="O93" s="8">
        <v>0</v>
      </c>
      <c r="P93" s="8">
        <v>3301875.5</v>
      </c>
      <c r="Q93" s="8">
        <v>9784525</v>
      </c>
      <c r="R93" s="8">
        <v>2509666.2000000002</v>
      </c>
      <c r="S93" s="8">
        <v>700002.4</v>
      </c>
      <c r="T93" s="8">
        <v>51597416</v>
      </c>
      <c r="U93" s="8">
        <v>147775380</v>
      </c>
      <c r="V93" s="8">
        <v>0</v>
      </c>
      <c r="W93" s="8">
        <v>311.10000000000002</v>
      </c>
      <c r="X93" s="8">
        <v>454.6</v>
      </c>
      <c r="Y93" s="8">
        <v>10710.3</v>
      </c>
      <c r="Z93" s="8">
        <v>7610.5</v>
      </c>
      <c r="AA93" s="8">
        <v>0</v>
      </c>
      <c r="AB93" s="8">
        <v>1513.3</v>
      </c>
      <c r="AC93" s="8">
        <v>1225</v>
      </c>
      <c r="AD93" s="8">
        <v>7264.3</v>
      </c>
      <c r="AE93" s="8">
        <v>444</v>
      </c>
      <c r="AF93" s="8">
        <v>22023.3</v>
      </c>
      <c r="AG93" s="8">
        <v>0</v>
      </c>
      <c r="AH93" s="8">
        <v>39813.800000000003</v>
      </c>
      <c r="AI93" s="8">
        <v>1244.4000000000001</v>
      </c>
    </row>
    <row r="94" spans="1:35" hidden="1">
      <c r="A94" t="s">
        <v>34</v>
      </c>
      <c r="B94" t="s">
        <v>50</v>
      </c>
      <c r="C94">
        <v>2035</v>
      </c>
      <c r="D94">
        <v>273278340</v>
      </c>
      <c r="E94">
        <v>48063830</v>
      </c>
      <c r="F94">
        <v>310419500</v>
      </c>
      <c r="G94" s="8">
        <v>717995.7</v>
      </c>
      <c r="H94" s="8">
        <v>117173.8</v>
      </c>
      <c r="I94" s="8">
        <v>0</v>
      </c>
      <c r="J94" s="8">
        <v>0</v>
      </c>
      <c r="K94" s="8">
        <v>0</v>
      </c>
      <c r="L94" s="8">
        <v>1169610.6000000001</v>
      </c>
      <c r="M94" s="8">
        <v>13769362</v>
      </c>
      <c r="N94" s="8">
        <v>1111059</v>
      </c>
      <c r="O94" s="8">
        <v>0</v>
      </c>
      <c r="P94" s="8">
        <v>3286734.5</v>
      </c>
      <c r="Q94" s="8">
        <v>9784525</v>
      </c>
      <c r="R94" s="8">
        <v>1150216</v>
      </c>
      <c r="S94" s="8">
        <v>770402.4</v>
      </c>
      <c r="T94" s="8">
        <v>72623540</v>
      </c>
      <c r="U94" s="8">
        <v>205918860</v>
      </c>
      <c r="V94" s="8">
        <v>0</v>
      </c>
      <c r="W94" s="8">
        <v>511.2</v>
      </c>
      <c r="X94" s="8">
        <v>708.4</v>
      </c>
      <c r="Y94" s="8">
        <v>10428.299999999999</v>
      </c>
      <c r="Z94" s="8">
        <v>7565.2</v>
      </c>
      <c r="AA94" s="8">
        <v>0</v>
      </c>
      <c r="AB94" s="8">
        <v>1540.3</v>
      </c>
      <c r="AC94" s="8">
        <v>1225</v>
      </c>
      <c r="AD94" s="8">
        <v>6332.8</v>
      </c>
      <c r="AE94" s="8">
        <v>444</v>
      </c>
      <c r="AF94" s="8">
        <v>33205.599999999999</v>
      </c>
      <c r="AG94" s="8">
        <v>0</v>
      </c>
      <c r="AH94" s="8">
        <v>57333.4</v>
      </c>
      <c r="AI94" s="8">
        <v>2044.8</v>
      </c>
    </row>
    <row r="95" spans="1:35" hidden="1">
      <c r="A95" t="s">
        <v>34</v>
      </c>
      <c r="B95" t="s">
        <v>50</v>
      </c>
      <c r="C95">
        <v>2040</v>
      </c>
      <c r="D95">
        <v>304102050</v>
      </c>
      <c r="E95">
        <v>75276740</v>
      </c>
      <c r="F95">
        <v>353551360</v>
      </c>
      <c r="G95" s="8">
        <v>2995092.2</v>
      </c>
      <c r="H95" s="8">
        <v>117173.8</v>
      </c>
      <c r="I95" s="8">
        <v>0</v>
      </c>
      <c r="J95" s="8">
        <v>0</v>
      </c>
      <c r="K95" s="8">
        <v>0</v>
      </c>
      <c r="L95" s="8">
        <v>1523149.9</v>
      </c>
      <c r="M95" s="8">
        <v>11752811</v>
      </c>
      <c r="N95" s="8">
        <v>740846.6</v>
      </c>
      <c r="O95" s="8">
        <v>0</v>
      </c>
      <c r="P95" s="8">
        <v>3252085.5</v>
      </c>
      <c r="Q95" s="8">
        <v>9784525</v>
      </c>
      <c r="R95" s="8">
        <v>643992.80000000005</v>
      </c>
      <c r="S95" s="8">
        <v>765839.6</v>
      </c>
      <c r="T95" s="8">
        <v>87519540</v>
      </c>
      <c r="U95" s="8">
        <v>234456320</v>
      </c>
      <c r="V95" s="8">
        <v>0</v>
      </c>
      <c r="W95" s="8">
        <v>2291.6</v>
      </c>
      <c r="X95" s="8">
        <v>926.7</v>
      </c>
      <c r="Y95" s="8">
        <v>10434.200000000001</v>
      </c>
      <c r="Z95" s="8">
        <v>7166.6</v>
      </c>
      <c r="AA95" s="8">
        <v>0</v>
      </c>
      <c r="AB95" s="8">
        <v>1540.3</v>
      </c>
      <c r="AC95" s="8">
        <v>1225</v>
      </c>
      <c r="AD95" s="8">
        <v>5937.4</v>
      </c>
      <c r="AE95" s="8">
        <v>444</v>
      </c>
      <c r="AF95" s="8">
        <v>41496.300000000003</v>
      </c>
      <c r="AG95" s="8">
        <v>0</v>
      </c>
      <c r="AH95" s="8">
        <v>67562.7</v>
      </c>
      <c r="AI95" s="8">
        <v>9166.2999999999993</v>
      </c>
    </row>
    <row r="96" spans="1:35" hidden="1">
      <c r="A96" t="s">
        <v>34</v>
      </c>
      <c r="B96" t="s">
        <v>50</v>
      </c>
      <c r="C96">
        <v>2045</v>
      </c>
      <c r="D96">
        <v>330939680</v>
      </c>
      <c r="E96">
        <v>87598856</v>
      </c>
      <c r="F96">
        <v>391569280</v>
      </c>
      <c r="G96" s="8">
        <v>4888571.5</v>
      </c>
      <c r="H96" s="8">
        <v>117173.8</v>
      </c>
      <c r="I96" s="8">
        <v>0</v>
      </c>
      <c r="J96" s="8">
        <v>0</v>
      </c>
      <c r="K96" s="8">
        <v>0</v>
      </c>
      <c r="L96" s="8">
        <v>2203580.7999999998</v>
      </c>
      <c r="M96" s="8">
        <v>10006415</v>
      </c>
      <c r="N96" s="8">
        <v>619344</v>
      </c>
      <c r="O96" s="8">
        <v>0</v>
      </c>
      <c r="P96" s="8">
        <v>3180938.2</v>
      </c>
      <c r="Q96" s="8">
        <v>9784525</v>
      </c>
      <c r="R96" s="8">
        <v>442377</v>
      </c>
      <c r="S96" s="8">
        <v>746875</v>
      </c>
      <c r="T96" s="8">
        <v>102448320</v>
      </c>
      <c r="U96" s="8">
        <v>257131170</v>
      </c>
      <c r="V96" s="8">
        <v>0</v>
      </c>
      <c r="W96" s="8">
        <v>3833.2</v>
      </c>
      <c r="X96" s="8">
        <v>1337.1</v>
      </c>
      <c r="Y96" s="8">
        <v>10321</v>
      </c>
      <c r="Z96" s="8">
        <v>7115.2</v>
      </c>
      <c r="AA96" s="8">
        <v>0</v>
      </c>
      <c r="AB96" s="8">
        <v>1540.3</v>
      </c>
      <c r="AC96" s="8">
        <v>1225</v>
      </c>
      <c r="AD96" s="8">
        <v>4327.2</v>
      </c>
      <c r="AE96" s="8">
        <v>444</v>
      </c>
      <c r="AF96" s="8">
        <v>48724.9</v>
      </c>
      <c r="AG96" s="8">
        <v>0</v>
      </c>
      <c r="AH96" s="8">
        <v>74255.3</v>
      </c>
      <c r="AI96" s="8">
        <v>15332.7</v>
      </c>
    </row>
    <row r="97" spans="1:35" hidden="1">
      <c r="A97" t="s">
        <v>34</v>
      </c>
      <c r="B97" t="s">
        <v>50</v>
      </c>
      <c r="C97">
        <v>2050</v>
      </c>
      <c r="D97">
        <v>352964900</v>
      </c>
      <c r="E97">
        <v>111319860</v>
      </c>
      <c r="F97">
        <v>422075360</v>
      </c>
      <c r="G97" s="8">
        <v>6119941.5</v>
      </c>
      <c r="H97" s="8">
        <v>117173.8</v>
      </c>
      <c r="I97" s="8">
        <v>0</v>
      </c>
      <c r="J97" s="8">
        <v>0</v>
      </c>
      <c r="K97" s="8">
        <v>0</v>
      </c>
      <c r="L97" s="8">
        <v>3118454.5</v>
      </c>
      <c r="M97" s="8">
        <v>8806899</v>
      </c>
      <c r="N97" s="8">
        <v>561990.19999999995</v>
      </c>
      <c r="O97" s="8">
        <v>0</v>
      </c>
      <c r="P97" s="8">
        <v>3147998.8</v>
      </c>
      <c r="Q97" s="8">
        <v>9784525</v>
      </c>
      <c r="R97" s="8">
        <v>169040.5</v>
      </c>
      <c r="S97" s="8">
        <v>746672.6</v>
      </c>
      <c r="T97" s="8">
        <v>114627070</v>
      </c>
      <c r="U97" s="8">
        <v>274875600</v>
      </c>
      <c r="V97" s="8">
        <v>0</v>
      </c>
      <c r="W97" s="8">
        <v>4959.6000000000004</v>
      </c>
      <c r="X97" s="8">
        <v>1893.6</v>
      </c>
      <c r="Y97" s="8">
        <v>10276.9</v>
      </c>
      <c r="Z97" s="8">
        <v>6927.8</v>
      </c>
      <c r="AA97" s="8">
        <v>0</v>
      </c>
      <c r="AB97" s="8">
        <v>1540.3</v>
      </c>
      <c r="AC97" s="8">
        <v>1225</v>
      </c>
      <c r="AD97" s="8">
        <v>1541.1</v>
      </c>
      <c r="AE97" s="8">
        <v>444</v>
      </c>
      <c r="AF97" s="8">
        <v>57472.9</v>
      </c>
      <c r="AG97" s="8">
        <v>0</v>
      </c>
      <c r="AH97" s="8">
        <v>80337.2</v>
      </c>
      <c r="AI97" s="8">
        <v>19838.599999999999</v>
      </c>
    </row>
    <row r="98" spans="1:35" hidden="1">
      <c r="A98" t="s">
        <v>34</v>
      </c>
      <c r="B98" t="s">
        <v>51</v>
      </c>
      <c r="C98">
        <v>2025</v>
      </c>
      <c r="D98">
        <v>74641430</v>
      </c>
      <c r="E98">
        <v>37167.9</v>
      </c>
      <c r="F98">
        <v>79394360</v>
      </c>
      <c r="G98" s="8">
        <v>391065.59999999998</v>
      </c>
      <c r="H98" s="8">
        <v>193828.7</v>
      </c>
      <c r="I98" s="8">
        <v>0</v>
      </c>
      <c r="J98" s="8">
        <v>22820798</v>
      </c>
      <c r="K98" s="8">
        <v>0</v>
      </c>
      <c r="L98" s="8">
        <v>1756016.8</v>
      </c>
      <c r="M98" s="8">
        <v>4220201.5</v>
      </c>
      <c r="N98" s="8">
        <v>3766.1</v>
      </c>
      <c r="O98" s="8">
        <v>0</v>
      </c>
      <c r="P98" s="8">
        <v>2570388.7999999998</v>
      </c>
      <c r="Q98" s="8">
        <v>0</v>
      </c>
      <c r="R98" s="8">
        <v>0</v>
      </c>
      <c r="S98" s="8">
        <v>458659.8</v>
      </c>
      <c r="T98" s="8">
        <v>8524890</v>
      </c>
      <c r="U98" s="8">
        <v>38454748</v>
      </c>
      <c r="V98" s="8">
        <v>0</v>
      </c>
      <c r="W98" s="8">
        <v>411.5</v>
      </c>
      <c r="X98" s="8">
        <v>1004</v>
      </c>
      <c r="Y98" s="8">
        <v>3247.6</v>
      </c>
      <c r="Z98" s="8">
        <v>3177.5</v>
      </c>
      <c r="AA98" s="8">
        <v>0</v>
      </c>
      <c r="AB98" s="8">
        <v>940.9</v>
      </c>
      <c r="AC98" s="8">
        <v>0</v>
      </c>
      <c r="AD98" s="8">
        <v>520.4</v>
      </c>
      <c r="AE98" s="8">
        <v>580.79999999999995</v>
      </c>
      <c r="AF98" s="8">
        <v>3348</v>
      </c>
      <c r="AG98" s="8">
        <v>0</v>
      </c>
      <c r="AH98" s="8">
        <v>10756.4</v>
      </c>
      <c r="AI98" s="8">
        <v>1645.9</v>
      </c>
    </row>
    <row r="99" spans="1:35">
      <c r="A99" t="s">
        <v>34</v>
      </c>
      <c r="B99" t="s">
        <v>51</v>
      </c>
      <c r="C99">
        <v>2030</v>
      </c>
      <c r="D99">
        <v>84926330</v>
      </c>
      <c r="E99">
        <v>3216513.8</v>
      </c>
      <c r="F99">
        <v>89521840</v>
      </c>
      <c r="G99" s="8">
        <v>512315.3</v>
      </c>
      <c r="H99" s="8">
        <v>158473.1</v>
      </c>
      <c r="I99" s="8">
        <v>0</v>
      </c>
      <c r="J99" s="8">
        <v>4637811</v>
      </c>
      <c r="K99" s="8">
        <v>0</v>
      </c>
      <c r="L99" s="8">
        <v>2512735.5</v>
      </c>
      <c r="M99" s="8">
        <v>6240250.5</v>
      </c>
      <c r="N99" s="8">
        <v>211927.6</v>
      </c>
      <c r="O99" s="8">
        <v>0</v>
      </c>
      <c r="P99" s="8">
        <v>2481633.7999999998</v>
      </c>
      <c r="Q99" s="8">
        <v>0</v>
      </c>
      <c r="R99" s="8">
        <v>490.9</v>
      </c>
      <c r="S99" s="8">
        <v>738518.6</v>
      </c>
      <c r="T99" s="8">
        <v>8610224</v>
      </c>
      <c r="U99" s="8">
        <v>63417460</v>
      </c>
      <c r="V99" s="8">
        <v>0</v>
      </c>
      <c r="W99" s="8">
        <v>411.5</v>
      </c>
      <c r="X99" s="8">
        <v>1442.6</v>
      </c>
      <c r="Y99" s="8">
        <v>3153.6</v>
      </c>
      <c r="Z99" s="8">
        <v>1577.6</v>
      </c>
      <c r="AA99" s="8">
        <v>0</v>
      </c>
      <c r="AB99" s="8">
        <v>940.9</v>
      </c>
      <c r="AC99" s="8">
        <v>0</v>
      </c>
      <c r="AD99" s="8">
        <v>15.4</v>
      </c>
      <c r="AE99" s="8">
        <v>580.79999999999995</v>
      </c>
      <c r="AF99" s="8">
        <v>3348</v>
      </c>
      <c r="AG99" s="8">
        <v>0</v>
      </c>
      <c r="AH99" s="8">
        <v>16296.2</v>
      </c>
      <c r="AI99" s="8">
        <v>1645.9</v>
      </c>
    </row>
    <row r="100" spans="1:35" hidden="1">
      <c r="A100" t="s">
        <v>34</v>
      </c>
      <c r="B100" t="s">
        <v>51</v>
      </c>
      <c r="C100">
        <v>2035</v>
      </c>
      <c r="D100">
        <v>104410870</v>
      </c>
      <c r="E100">
        <v>11001050</v>
      </c>
      <c r="F100">
        <v>114267250</v>
      </c>
      <c r="G100" s="8">
        <v>854180.4</v>
      </c>
      <c r="H100" s="8">
        <v>158473.1</v>
      </c>
      <c r="I100" s="8">
        <v>0</v>
      </c>
      <c r="J100" s="8">
        <v>0</v>
      </c>
      <c r="K100" s="8">
        <v>0</v>
      </c>
      <c r="L100" s="8">
        <v>2875155</v>
      </c>
      <c r="M100" s="8">
        <v>4012813.2</v>
      </c>
      <c r="N100" s="8">
        <v>174595.8</v>
      </c>
      <c r="O100" s="8">
        <v>0</v>
      </c>
      <c r="P100" s="8">
        <v>2437601</v>
      </c>
      <c r="Q100" s="8">
        <v>0</v>
      </c>
      <c r="R100" s="8">
        <v>965.2</v>
      </c>
      <c r="S100" s="8">
        <v>986891.6</v>
      </c>
      <c r="T100" s="8">
        <v>17447380</v>
      </c>
      <c r="U100" s="8">
        <v>85319190</v>
      </c>
      <c r="V100" s="8">
        <v>0</v>
      </c>
      <c r="W100" s="8">
        <v>617.4</v>
      </c>
      <c r="X100" s="8">
        <v>1662.8</v>
      </c>
      <c r="Y100" s="8">
        <v>3153.6</v>
      </c>
      <c r="Z100" s="8">
        <v>1577.6</v>
      </c>
      <c r="AA100" s="8">
        <v>0</v>
      </c>
      <c r="AB100" s="8">
        <v>940.9</v>
      </c>
      <c r="AC100" s="8">
        <v>0</v>
      </c>
      <c r="AD100" s="8">
        <v>15.4</v>
      </c>
      <c r="AE100" s="8">
        <v>580.79999999999995</v>
      </c>
      <c r="AF100" s="8">
        <v>7082.7</v>
      </c>
      <c r="AG100" s="8">
        <v>0</v>
      </c>
      <c r="AH100" s="8">
        <v>23232.2</v>
      </c>
      <c r="AI100" s="8">
        <v>2469.5</v>
      </c>
    </row>
    <row r="101" spans="1:35" hidden="1">
      <c r="A101" t="s">
        <v>34</v>
      </c>
      <c r="B101" t="s">
        <v>51</v>
      </c>
      <c r="C101">
        <v>2040</v>
      </c>
      <c r="D101">
        <v>113585420</v>
      </c>
      <c r="E101">
        <v>14648566</v>
      </c>
      <c r="F101">
        <v>127722300</v>
      </c>
      <c r="G101" s="8">
        <v>3458858.5</v>
      </c>
      <c r="H101" s="8">
        <v>158473.1</v>
      </c>
      <c r="I101" s="8">
        <v>0</v>
      </c>
      <c r="J101" s="8">
        <v>0</v>
      </c>
      <c r="K101" s="8">
        <v>0</v>
      </c>
      <c r="L101" s="8">
        <v>2919665</v>
      </c>
      <c r="M101" s="8">
        <v>2686459.2</v>
      </c>
      <c r="N101" s="8">
        <v>135039.4</v>
      </c>
      <c r="O101" s="8">
        <v>0</v>
      </c>
      <c r="P101" s="8">
        <v>2418695.7999999998</v>
      </c>
      <c r="Q101" s="8">
        <v>0</v>
      </c>
      <c r="R101" s="8">
        <v>223.2</v>
      </c>
      <c r="S101" s="8">
        <v>1189836.5</v>
      </c>
      <c r="T101" s="8">
        <v>27261206</v>
      </c>
      <c r="U101" s="8">
        <v>87493850</v>
      </c>
      <c r="V101" s="8">
        <v>0</v>
      </c>
      <c r="W101" s="8">
        <v>2497.3000000000002</v>
      </c>
      <c r="X101" s="8">
        <v>1691</v>
      </c>
      <c r="Y101" s="8">
        <v>3153.6</v>
      </c>
      <c r="Z101" s="8">
        <v>2298</v>
      </c>
      <c r="AA101" s="8">
        <v>0</v>
      </c>
      <c r="AB101" s="8">
        <v>940.9</v>
      </c>
      <c r="AC101" s="8">
        <v>0</v>
      </c>
      <c r="AD101" s="8">
        <v>15.4</v>
      </c>
      <c r="AE101" s="8">
        <v>580.79999999999995</v>
      </c>
      <c r="AF101" s="8">
        <v>11316.1</v>
      </c>
      <c r="AG101" s="8">
        <v>0</v>
      </c>
      <c r="AH101" s="8">
        <v>24003.7</v>
      </c>
      <c r="AI101" s="8">
        <v>9989.2999999999993</v>
      </c>
    </row>
    <row r="102" spans="1:35" hidden="1">
      <c r="A102" t="s">
        <v>34</v>
      </c>
      <c r="B102" t="s">
        <v>51</v>
      </c>
      <c r="C102">
        <v>2045</v>
      </c>
      <c r="D102">
        <v>125035816</v>
      </c>
      <c r="E102">
        <v>17878656</v>
      </c>
      <c r="F102">
        <v>137680160</v>
      </c>
      <c r="G102" s="8">
        <v>3484888.5</v>
      </c>
      <c r="H102" s="8">
        <v>121644.3</v>
      </c>
      <c r="I102" s="8">
        <v>0</v>
      </c>
      <c r="J102" s="8">
        <v>0</v>
      </c>
      <c r="K102" s="8">
        <v>0</v>
      </c>
      <c r="L102" s="8">
        <v>3282142.2</v>
      </c>
      <c r="M102" s="8">
        <v>2292662</v>
      </c>
      <c r="N102" s="8">
        <v>98974.5</v>
      </c>
      <c r="O102" s="8">
        <v>0</v>
      </c>
      <c r="P102" s="8">
        <v>2409811.2000000002</v>
      </c>
      <c r="Q102" s="8">
        <v>0</v>
      </c>
      <c r="R102" s="8">
        <v>82.8</v>
      </c>
      <c r="S102" s="8">
        <v>1200168</v>
      </c>
      <c r="T102" s="8">
        <v>28481428</v>
      </c>
      <c r="U102" s="8">
        <v>96308350</v>
      </c>
      <c r="V102" s="8">
        <v>0</v>
      </c>
      <c r="W102" s="8">
        <v>2497.3000000000002</v>
      </c>
      <c r="X102" s="8">
        <v>1900.8</v>
      </c>
      <c r="Y102" s="8">
        <v>3098.6</v>
      </c>
      <c r="Z102" s="8">
        <v>2298</v>
      </c>
      <c r="AA102" s="8">
        <v>0</v>
      </c>
      <c r="AB102" s="8">
        <v>940.9</v>
      </c>
      <c r="AC102" s="8">
        <v>0</v>
      </c>
      <c r="AD102" s="8">
        <v>15.4</v>
      </c>
      <c r="AE102" s="8">
        <v>580.79999999999995</v>
      </c>
      <c r="AF102" s="8">
        <v>11511.3</v>
      </c>
      <c r="AG102" s="8">
        <v>0</v>
      </c>
      <c r="AH102" s="8">
        <v>26570.7</v>
      </c>
      <c r="AI102" s="8">
        <v>9989.2999999999993</v>
      </c>
    </row>
    <row r="103" spans="1:35" hidden="1">
      <c r="A103" t="s">
        <v>34</v>
      </c>
      <c r="B103" t="s">
        <v>51</v>
      </c>
      <c r="C103">
        <v>2050</v>
      </c>
      <c r="D103">
        <v>135514500</v>
      </c>
      <c r="E103">
        <v>20323016</v>
      </c>
      <c r="F103">
        <v>149861870</v>
      </c>
      <c r="G103" s="8">
        <v>5158239.5</v>
      </c>
      <c r="H103" s="8">
        <v>121644.3</v>
      </c>
      <c r="I103" s="8">
        <v>0</v>
      </c>
      <c r="J103" s="8">
        <v>0</v>
      </c>
      <c r="K103" s="8">
        <v>0</v>
      </c>
      <c r="L103" s="8">
        <v>3888376.5</v>
      </c>
      <c r="M103" s="8">
        <v>1703253.8</v>
      </c>
      <c r="N103" s="8">
        <v>62110.8</v>
      </c>
      <c r="O103" s="8">
        <v>0</v>
      </c>
      <c r="P103" s="8">
        <v>2297449.2000000002</v>
      </c>
      <c r="Q103" s="8">
        <v>0</v>
      </c>
      <c r="R103" s="8">
        <v>24.8</v>
      </c>
      <c r="S103" s="8">
        <v>1100421.8999999999</v>
      </c>
      <c r="T103" s="8">
        <v>30293020</v>
      </c>
      <c r="U103" s="8">
        <v>105237320</v>
      </c>
      <c r="V103" s="8">
        <v>0</v>
      </c>
      <c r="W103" s="8">
        <v>3982.1</v>
      </c>
      <c r="X103" s="8">
        <v>2245.1999999999998</v>
      </c>
      <c r="Y103" s="8">
        <v>2754.5</v>
      </c>
      <c r="Z103" s="8">
        <v>2356.9</v>
      </c>
      <c r="AA103" s="8">
        <v>0</v>
      </c>
      <c r="AB103" s="8">
        <v>940.9</v>
      </c>
      <c r="AC103" s="8">
        <v>0</v>
      </c>
      <c r="AD103" s="8">
        <v>10</v>
      </c>
      <c r="AE103" s="8">
        <v>580.79999999999995</v>
      </c>
      <c r="AF103" s="8">
        <v>12104.5</v>
      </c>
      <c r="AG103" s="8">
        <v>0</v>
      </c>
      <c r="AH103" s="8">
        <v>29392.2</v>
      </c>
      <c r="AI103" s="8">
        <v>15928.5</v>
      </c>
    </row>
    <row r="104" spans="1:35" hidden="1">
      <c r="A104" t="s">
        <v>34</v>
      </c>
      <c r="B104" t="s">
        <v>52</v>
      </c>
      <c r="C104">
        <v>2025</v>
      </c>
      <c r="D104">
        <v>126094270</v>
      </c>
      <c r="E104">
        <v>9876.9</v>
      </c>
      <c r="F104">
        <v>129933590</v>
      </c>
      <c r="G104" s="8">
        <v>2701639.2</v>
      </c>
      <c r="H104" s="8">
        <v>240248.2</v>
      </c>
      <c r="I104" s="8">
        <v>0</v>
      </c>
      <c r="J104" s="8">
        <v>26826394</v>
      </c>
      <c r="K104" s="8">
        <v>0</v>
      </c>
      <c r="L104" s="8">
        <v>5169079</v>
      </c>
      <c r="M104" s="8">
        <v>23337198</v>
      </c>
      <c r="N104" s="8">
        <v>1652768</v>
      </c>
      <c r="O104" s="8">
        <v>63918.6</v>
      </c>
      <c r="P104" s="8">
        <v>10164722</v>
      </c>
      <c r="Q104" s="8">
        <v>31446268</v>
      </c>
      <c r="R104" s="8">
        <v>50585</v>
      </c>
      <c r="S104" s="8">
        <v>217257</v>
      </c>
      <c r="T104" s="8">
        <v>17405378</v>
      </c>
      <c r="U104" s="8">
        <v>10658149</v>
      </c>
      <c r="V104" s="8">
        <v>0</v>
      </c>
      <c r="W104" s="8">
        <v>2160.1999999999998</v>
      </c>
      <c r="X104" s="8">
        <v>2708.4</v>
      </c>
      <c r="Y104" s="8">
        <v>13182.5</v>
      </c>
      <c r="Z104" s="8">
        <v>4544.1000000000004</v>
      </c>
      <c r="AA104" s="8">
        <v>8.6</v>
      </c>
      <c r="AB104" s="8">
        <v>2803.6</v>
      </c>
      <c r="AC104" s="8">
        <v>3937</v>
      </c>
      <c r="AD104" s="8">
        <v>1545</v>
      </c>
      <c r="AE104" s="8">
        <v>216.3</v>
      </c>
      <c r="AF104" s="8">
        <v>6296.5</v>
      </c>
      <c r="AG104" s="8">
        <v>0</v>
      </c>
      <c r="AH104" s="8">
        <v>3262.5</v>
      </c>
      <c r="AI104" s="8">
        <v>8640.9</v>
      </c>
    </row>
    <row r="105" spans="1:35">
      <c r="A105" t="s">
        <v>34</v>
      </c>
      <c r="B105" t="s">
        <v>52</v>
      </c>
      <c r="C105">
        <v>2030</v>
      </c>
      <c r="D105">
        <v>139696750</v>
      </c>
      <c r="E105">
        <v>2115486.7999999998</v>
      </c>
      <c r="F105">
        <v>152794240</v>
      </c>
      <c r="G105" s="8">
        <v>3587172.8</v>
      </c>
      <c r="H105" s="8">
        <v>240248.2</v>
      </c>
      <c r="I105" s="8">
        <v>0</v>
      </c>
      <c r="J105" s="8">
        <v>13866426</v>
      </c>
      <c r="K105" s="8">
        <v>229326.2</v>
      </c>
      <c r="L105" s="8">
        <v>6409063</v>
      </c>
      <c r="M105" s="8">
        <v>17626892</v>
      </c>
      <c r="N105" s="8">
        <v>345856.8</v>
      </c>
      <c r="O105" s="8">
        <v>61138.5</v>
      </c>
      <c r="P105" s="8">
        <v>11350000</v>
      </c>
      <c r="Q105" s="8">
        <v>31446268</v>
      </c>
      <c r="R105" s="8">
        <v>23027.1</v>
      </c>
      <c r="S105" s="8">
        <v>438512.1</v>
      </c>
      <c r="T105" s="8">
        <v>38018230</v>
      </c>
      <c r="U105" s="8">
        <v>29152076</v>
      </c>
      <c r="V105" s="8">
        <v>0</v>
      </c>
      <c r="W105" s="8">
        <v>2514.8000000000002</v>
      </c>
      <c r="X105" s="8">
        <v>3388.5</v>
      </c>
      <c r="Y105" s="8">
        <v>12790.9</v>
      </c>
      <c r="Z105" s="8">
        <v>3497.6</v>
      </c>
      <c r="AA105" s="8">
        <v>8.6</v>
      </c>
      <c r="AB105" s="8">
        <v>3200.6</v>
      </c>
      <c r="AC105" s="8">
        <v>3937</v>
      </c>
      <c r="AD105" s="8">
        <v>986.1</v>
      </c>
      <c r="AE105" s="8">
        <v>216.3</v>
      </c>
      <c r="AF105" s="8">
        <v>13936.6</v>
      </c>
      <c r="AG105" s="8">
        <v>0</v>
      </c>
      <c r="AH105" s="8">
        <v>8018.4</v>
      </c>
      <c r="AI105" s="8">
        <v>10059.1</v>
      </c>
    </row>
    <row r="106" spans="1:35" hidden="1">
      <c r="A106" t="s">
        <v>34</v>
      </c>
      <c r="B106" t="s">
        <v>52</v>
      </c>
      <c r="C106">
        <v>2035</v>
      </c>
      <c r="D106">
        <v>158624200</v>
      </c>
      <c r="E106">
        <v>10256954</v>
      </c>
      <c r="F106">
        <v>178281570</v>
      </c>
      <c r="G106" s="8">
        <v>9114386</v>
      </c>
      <c r="H106" s="8">
        <v>224043.6</v>
      </c>
      <c r="I106" s="8">
        <v>0</v>
      </c>
      <c r="J106" s="8">
        <v>0</v>
      </c>
      <c r="K106" s="8">
        <v>185492.8</v>
      </c>
      <c r="L106" s="8">
        <v>6318127.5</v>
      </c>
      <c r="M106" s="8">
        <v>17462772</v>
      </c>
      <c r="N106" s="8">
        <v>338496.6</v>
      </c>
      <c r="O106" s="8">
        <v>56385.1</v>
      </c>
      <c r="P106" s="8">
        <v>11172740</v>
      </c>
      <c r="Q106" s="8">
        <v>31446268</v>
      </c>
      <c r="R106" s="8">
        <v>21662.2</v>
      </c>
      <c r="S106" s="8">
        <v>509095.2</v>
      </c>
      <c r="T106" s="8">
        <v>58007680</v>
      </c>
      <c r="U106" s="8">
        <v>43424424</v>
      </c>
      <c r="V106" s="8">
        <v>0</v>
      </c>
      <c r="W106" s="8">
        <v>6307.5</v>
      </c>
      <c r="X106" s="8">
        <v>3389.5</v>
      </c>
      <c r="Y106" s="8">
        <v>12446.9</v>
      </c>
      <c r="Z106" s="8">
        <v>3497.6</v>
      </c>
      <c r="AA106" s="8">
        <v>8.6</v>
      </c>
      <c r="AB106" s="8">
        <v>3200.6</v>
      </c>
      <c r="AC106" s="8">
        <v>3937</v>
      </c>
      <c r="AD106" s="8">
        <v>500</v>
      </c>
      <c r="AE106" s="8">
        <v>216.3</v>
      </c>
      <c r="AF106" s="8">
        <v>22788.400000000001</v>
      </c>
      <c r="AG106" s="8">
        <v>0</v>
      </c>
      <c r="AH106" s="8">
        <v>12724.4</v>
      </c>
      <c r="AI106" s="8">
        <v>25229.8</v>
      </c>
    </row>
    <row r="107" spans="1:35" hidden="1">
      <c r="A107" t="s">
        <v>34</v>
      </c>
      <c r="B107" t="s">
        <v>52</v>
      </c>
      <c r="C107">
        <v>2040</v>
      </c>
      <c r="D107">
        <v>179909140</v>
      </c>
      <c r="E107">
        <v>19695392</v>
      </c>
      <c r="F107">
        <v>201599070</v>
      </c>
      <c r="G107" s="8">
        <v>12197032</v>
      </c>
      <c r="H107" s="8">
        <v>224043.6</v>
      </c>
      <c r="I107" s="8">
        <v>0</v>
      </c>
      <c r="J107" s="8">
        <v>0</v>
      </c>
      <c r="K107" s="8">
        <v>155033.5</v>
      </c>
      <c r="L107" s="8">
        <v>6345113</v>
      </c>
      <c r="M107" s="8">
        <v>14981555</v>
      </c>
      <c r="N107" s="8">
        <v>202950.6</v>
      </c>
      <c r="O107" s="8">
        <v>53487.5</v>
      </c>
      <c r="P107" s="8">
        <v>11129281</v>
      </c>
      <c r="Q107" s="8">
        <v>31446268</v>
      </c>
      <c r="R107" s="8">
        <v>4773</v>
      </c>
      <c r="S107" s="8">
        <v>551786.9</v>
      </c>
      <c r="T107" s="8">
        <v>74851190</v>
      </c>
      <c r="U107" s="8">
        <v>49456564</v>
      </c>
      <c r="V107" s="8">
        <v>0</v>
      </c>
      <c r="W107" s="8">
        <v>8379.2999999999993</v>
      </c>
      <c r="X107" s="8">
        <v>3410.8</v>
      </c>
      <c r="Y107" s="8">
        <v>12446.9</v>
      </c>
      <c r="Z107" s="8">
        <v>3497.6</v>
      </c>
      <c r="AA107" s="8">
        <v>8.6</v>
      </c>
      <c r="AB107" s="8">
        <v>3200.6</v>
      </c>
      <c r="AC107" s="8">
        <v>3937</v>
      </c>
      <c r="AD107" s="8">
        <v>175</v>
      </c>
      <c r="AE107" s="8">
        <v>216.3</v>
      </c>
      <c r="AF107" s="8">
        <v>31571.9</v>
      </c>
      <c r="AG107" s="8">
        <v>0</v>
      </c>
      <c r="AH107" s="8">
        <v>14805.5</v>
      </c>
      <c r="AI107" s="8">
        <v>33517</v>
      </c>
    </row>
    <row r="108" spans="1:35" hidden="1">
      <c r="A108" t="s">
        <v>34</v>
      </c>
      <c r="B108" t="s">
        <v>52</v>
      </c>
      <c r="C108">
        <v>2045</v>
      </c>
      <c r="D108">
        <v>197644800</v>
      </c>
      <c r="E108">
        <v>35829140</v>
      </c>
      <c r="F108">
        <v>247925400</v>
      </c>
      <c r="G108" s="8">
        <v>26302972</v>
      </c>
      <c r="H108" s="8">
        <v>224043.6</v>
      </c>
      <c r="I108" s="8">
        <v>0</v>
      </c>
      <c r="J108" s="8">
        <v>0</v>
      </c>
      <c r="K108" s="8">
        <v>147676.4</v>
      </c>
      <c r="L108" s="8">
        <v>6464667</v>
      </c>
      <c r="M108" s="8">
        <v>11919750</v>
      </c>
      <c r="N108" s="8">
        <v>204299.1</v>
      </c>
      <c r="O108" s="8">
        <v>42343.8</v>
      </c>
      <c r="P108" s="8">
        <v>11103036</v>
      </c>
      <c r="Q108" s="8">
        <v>31446268</v>
      </c>
      <c r="R108" s="8">
        <v>2892.8</v>
      </c>
      <c r="S108" s="8">
        <v>565295</v>
      </c>
      <c r="T108" s="8">
        <v>105401020</v>
      </c>
      <c r="U108" s="8">
        <v>54101130</v>
      </c>
      <c r="V108" s="8">
        <v>0</v>
      </c>
      <c r="W108" s="8">
        <v>17065.5</v>
      </c>
      <c r="X108" s="8">
        <v>3469.7</v>
      </c>
      <c r="Y108" s="8">
        <v>12446.9</v>
      </c>
      <c r="Z108" s="8">
        <v>3457.1</v>
      </c>
      <c r="AA108" s="8">
        <v>7</v>
      </c>
      <c r="AB108" s="8">
        <v>3200.6</v>
      </c>
      <c r="AC108" s="8">
        <v>3937</v>
      </c>
      <c r="AD108" s="8">
        <v>175</v>
      </c>
      <c r="AE108" s="8">
        <v>216.3</v>
      </c>
      <c r="AF108" s="8">
        <v>47433.8</v>
      </c>
      <c r="AG108" s="8">
        <v>0</v>
      </c>
      <c r="AH108" s="8">
        <v>16053.8</v>
      </c>
      <c r="AI108" s="8">
        <v>73014.100000000006</v>
      </c>
    </row>
    <row r="109" spans="1:35" hidden="1">
      <c r="A109" t="s">
        <v>34</v>
      </c>
      <c r="B109" t="s">
        <v>52</v>
      </c>
      <c r="C109">
        <v>2050</v>
      </c>
      <c r="D109">
        <v>214279490</v>
      </c>
      <c r="E109">
        <v>49666760</v>
      </c>
      <c r="F109">
        <v>299854800</v>
      </c>
      <c r="G109" s="8">
        <v>45176188</v>
      </c>
      <c r="H109" s="8">
        <v>205629.2</v>
      </c>
      <c r="I109" s="8">
        <v>0</v>
      </c>
      <c r="J109" s="8">
        <v>0</v>
      </c>
      <c r="K109" s="8">
        <v>116036.2</v>
      </c>
      <c r="L109" s="8">
        <v>6713939</v>
      </c>
      <c r="M109" s="8">
        <v>11390663</v>
      </c>
      <c r="N109" s="8">
        <v>105815.4</v>
      </c>
      <c r="O109" s="8">
        <v>0</v>
      </c>
      <c r="P109" s="8">
        <v>11072631</v>
      </c>
      <c r="Q109" s="8">
        <v>31446268</v>
      </c>
      <c r="R109" s="8">
        <v>1012.5</v>
      </c>
      <c r="S109" s="8">
        <v>558224.1</v>
      </c>
      <c r="T109" s="8">
        <v>138472620</v>
      </c>
      <c r="U109" s="8">
        <v>54595756</v>
      </c>
      <c r="V109" s="8">
        <v>0</v>
      </c>
      <c r="W109" s="8">
        <v>26962.5</v>
      </c>
      <c r="X109" s="8">
        <v>3623.6</v>
      </c>
      <c r="Y109" s="8">
        <v>14129</v>
      </c>
      <c r="Z109" s="8">
        <v>3457.1</v>
      </c>
      <c r="AA109" s="8">
        <v>0</v>
      </c>
      <c r="AB109" s="8">
        <v>3200.6</v>
      </c>
      <c r="AC109" s="8">
        <v>3937</v>
      </c>
      <c r="AD109" s="8">
        <v>175</v>
      </c>
      <c r="AE109" s="8">
        <v>216.3</v>
      </c>
      <c r="AF109" s="8">
        <v>63612.9</v>
      </c>
      <c r="AG109" s="8">
        <v>0</v>
      </c>
      <c r="AH109" s="8">
        <v>16063.9</v>
      </c>
      <c r="AI109" s="8">
        <v>127109.2</v>
      </c>
    </row>
  </sheetData>
  <autoFilter ref="A1:AI109" xr:uid="{AC379765-5EF9-4F5F-9A57-F03E3808B985}">
    <filterColumn colId="2">
      <filters>
        <filter val="203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973D-E63B-458D-B54E-C434A6F34732}">
  <dimension ref="A2:V9"/>
  <sheetViews>
    <sheetView tabSelected="1" topLeftCell="L1" zoomScale="85" zoomScaleNormal="85" workbookViewId="0">
      <selection activeCell="T11" sqref="T11"/>
    </sheetView>
  </sheetViews>
  <sheetFormatPr defaultRowHeight="14.4"/>
  <cols>
    <col min="1" max="1" width="7.77734375" bestFit="1" customWidth="1"/>
    <col min="2" max="2" width="6.6640625" bestFit="1" customWidth="1"/>
    <col min="3" max="3" width="5.5546875" bestFit="1" customWidth="1"/>
    <col min="4" max="4" width="7.5546875" bestFit="1" customWidth="1"/>
    <col min="5" max="5" width="8.21875" bestFit="1" customWidth="1"/>
    <col min="6" max="6" width="6.109375" bestFit="1" customWidth="1"/>
    <col min="7" max="7" width="11.21875" bestFit="1" customWidth="1"/>
    <col min="8" max="8" width="6.6640625" bestFit="1" customWidth="1"/>
    <col min="9" max="9" width="8.21875" bestFit="1" customWidth="1"/>
    <col min="10" max="10" width="9.109375" bestFit="1" customWidth="1"/>
    <col min="11" max="11" width="8.5546875" bestFit="1" customWidth="1"/>
    <col min="12" max="12" width="6.6640625" bestFit="1" customWidth="1"/>
    <col min="13" max="13" width="8.109375" bestFit="1" customWidth="1"/>
    <col min="14" max="14" width="9.21875" bestFit="1" customWidth="1"/>
    <col min="15" max="15" width="18.44140625" bestFit="1" customWidth="1"/>
    <col min="16" max="16" width="21.88671875" customWidth="1"/>
    <col min="17" max="17" width="22.44140625" bestFit="1" customWidth="1"/>
    <col min="18" max="18" width="22.44140625" customWidth="1"/>
    <col min="19" max="19" width="24.44140625" bestFit="1" customWidth="1"/>
    <col min="20" max="79" width="18.109375" bestFit="1" customWidth="1"/>
    <col min="80" max="80" width="9.6640625" bestFit="1" customWidth="1"/>
    <col min="81" max="81" width="11.6640625" bestFit="1" customWidth="1"/>
    <col min="82" max="82" width="12.33203125" bestFit="1" customWidth="1"/>
    <col min="84" max="84" width="10.6640625" bestFit="1" customWidth="1"/>
    <col min="85" max="85" width="10.44140625" bestFit="1" customWidth="1"/>
    <col min="86" max="86" width="15.21875" bestFit="1" customWidth="1"/>
    <col min="87" max="87" width="10.44140625" bestFit="1" customWidth="1"/>
    <col min="88" max="88" width="8.6640625" bestFit="1" customWidth="1"/>
    <col min="89" max="89" width="13.33203125" bestFit="1" customWidth="1"/>
    <col min="90" max="90" width="12.77734375" bestFit="1" customWidth="1"/>
    <col min="91" max="91" width="10.5546875" bestFit="1" customWidth="1"/>
    <col min="92" max="92" width="22.6640625" bestFit="1" customWidth="1"/>
  </cols>
  <sheetData>
    <row r="2" spans="1:22" ht="18">
      <c r="A2" s="12" t="s">
        <v>68</v>
      </c>
    </row>
    <row r="3" spans="1:22">
      <c r="A3" s="1" t="s">
        <v>66</v>
      </c>
      <c r="B3" s="3" t="s">
        <v>55</v>
      </c>
      <c r="C3" s="3" t="s">
        <v>62</v>
      </c>
      <c r="D3" s="3" t="s">
        <v>61</v>
      </c>
      <c r="E3" s="3" t="s">
        <v>57</v>
      </c>
      <c r="F3" s="3" t="s">
        <v>58</v>
      </c>
      <c r="G3" s="3" t="s">
        <v>59</v>
      </c>
      <c r="H3" s="3" t="s">
        <v>60</v>
      </c>
      <c r="I3" s="3" t="s">
        <v>63</v>
      </c>
      <c r="J3" s="3" t="s">
        <v>64</v>
      </c>
      <c r="K3" s="3" t="s">
        <v>65</v>
      </c>
      <c r="L3" s="3" t="s">
        <v>56</v>
      </c>
      <c r="M3" s="3" t="s">
        <v>54</v>
      </c>
      <c r="N3" s="5" t="s">
        <v>72</v>
      </c>
      <c r="P3" s="3"/>
      <c r="Q3" s="5" t="s">
        <v>67</v>
      </c>
      <c r="R3" s="5" t="s">
        <v>73</v>
      </c>
      <c r="S3" s="5" t="s">
        <v>69</v>
      </c>
      <c r="T3" s="5" t="s">
        <v>71</v>
      </c>
      <c r="U3" s="5" t="s">
        <v>70</v>
      </c>
      <c r="V3" s="5" t="s">
        <v>74</v>
      </c>
    </row>
    <row r="4" spans="1:22">
      <c r="A4" s="2">
        <v>2025</v>
      </c>
      <c r="B4" s="4">
        <v>802195382</v>
      </c>
      <c r="C4" s="4">
        <v>29543131.899999999</v>
      </c>
      <c r="D4" s="4">
        <v>789618419.5</v>
      </c>
      <c r="E4" s="4">
        <v>1243330483.3</v>
      </c>
      <c r="F4" s="4">
        <v>24088338.800000001</v>
      </c>
      <c r="G4" s="4">
        <v>20434007.899999999</v>
      </c>
      <c r="H4" s="4">
        <v>300177121.80000001</v>
      </c>
      <c r="I4" s="4">
        <v>377496589.80000001</v>
      </c>
      <c r="J4" s="4">
        <v>613079812.10000002</v>
      </c>
      <c r="K4" s="4">
        <v>7249807.4000000004</v>
      </c>
      <c r="L4" s="4">
        <v>64249396.099999994</v>
      </c>
      <c r="M4" s="4">
        <v>35364682.000000007</v>
      </c>
      <c r="N4" s="11">
        <f>SUM(B4:M4)</f>
        <v>4306827172.6000004</v>
      </c>
      <c r="P4" s="7">
        <v>2025</v>
      </c>
      <c r="Q4" s="6">
        <f>SUM(B4:M4)</f>
        <v>4306827172.6000004</v>
      </c>
      <c r="R4" s="6">
        <f>SUM(G4:L4)</f>
        <v>1382686735.0999999</v>
      </c>
      <c r="S4" s="9">
        <v>0.14000000000000001</v>
      </c>
      <c r="T4">
        <v>0.04</v>
      </c>
      <c r="U4" s="10">
        <f>S4/T4</f>
        <v>3.5000000000000004</v>
      </c>
      <c r="V4" s="13">
        <f>9997086/1000000</f>
        <v>9.9970859999999995</v>
      </c>
    </row>
    <row r="5" spans="1:22">
      <c r="A5" s="2">
        <v>2030</v>
      </c>
      <c r="B5" s="4">
        <v>324669160.5</v>
      </c>
      <c r="C5" s="4">
        <v>21232605.599999998</v>
      </c>
      <c r="D5" s="4">
        <v>771726715.5</v>
      </c>
      <c r="E5" s="4">
        <v>1363623539.8</v>
      </c>
      <c r="F5" s="4">
        <v>22541917.700000007</v>
      </c>
      <c r="G5" s="4">
        <v>26913737.299999997</v>
      </c>
      <c r="H5" s="4">
        <v>300858818.19999999</v>
      </c>
      <c r="I5" s="4">
        <v>666766478.5999999</v>
      </c>
      <c r="J5" s="4">
        <v>989078699.70000005</v>
      </c>
      <c r="K5" s="4">
        <v>72938920.099999994</v>
      </c>
      <c r="L5" s="4">
        <v>89704239.5</v>
      </c>
      <c r="M5" s="4">
        <v>31845788.900000002</v>
      </c>
      <c r="N5" s="11">
        <f t="shared" ref="N5:N9" si="0">SUM(B5:M5)</f>
        <v>4681900621.3999996</v>
      </c>
      <c r="P5" s="7">
        <v>2030</v>
      </c>
      <c r="Q5" s="6">
        <f>SUM(B5:M5)</f>
        <v>4681900621.3999996</v>
      </c>
      <c r="R5" s="6">
        <f t="shared" ref="R5:R9" si="1">SUM(G5:L5)</f>
        <v>2146260893.3999999</v>
      </c>
      <c r="S5" s="3">
        <v>0.22</v>
      </c>
      <c r="T5">
        <v>0.05</v>
      </c>
      <c r="U5" s="10">
        <f t="shared" ref="U5:U9" si="2">S5/T5</f>
        <v>4.3999999999999995</v>
      </c>
      <c r="V5">
        <v>86.55</v>
      </c>
    </row>
    <row r="6" spans="1:22">
      <c r="A6" s="2">
        <v>2035</v>
      </c>
      <c r="B6" s="4">
        <v>0</v>
      </c>
      <c r="C6" s="4">
        <v>19152045.099999998</v>
      </c>
      <c r="D6" s="4">
        <v>771726715.5</v>
      </c>
      <c r="E6" s="4">
        <v>1117042615.5</v>
      </c>
      <c r="F6" s="4">
        <v>30904593.200000003</v>
      </c>
      <c r="G6" s="4">
        <v>38430110.100000001</v>
      </c>
      <c r="H6" s="4">
        <v>302355240.70000005</v>
      </c>
      <c r="I6" s="4">
        <v>1178122859.5</v>
      </c>
      <c r="J6" s="4">
        <v>1548681729.3</v>
      </c>
      <c r="K6" s="4">
        <v>160183089</v>
      </c>
      <c r="L6" s="4">
        <v>104538895.59999999</v>
      </c>
      <c r="M6" s="4">
        <v>26164579.400000006</v>
      </c>
      <c r="N6" s="11">
        <f t="shared" si="0"/>
        <v>5297302472.8999996</v>
      </c>
      <c r="P6" s="7">
        <v>2035</v>
      </c>
      <c r="Q6" s="6">
        <f>SUM(B6:M6)</f>
        <v>5297302472.8999996</v>
      </c>
      <c r="R6" s="6">
        <f t="shared" si="1"/>
        <v>3332311924.2000003</v>
      </c>
      <c r="S6" s="3">
        <v>0.52</v>
      </c>
      <c r="T6">
        <v>0.13</v>
      </c>
      <c r="U6" s="10">
        <f t="shared" si="2"/>
        <v>4</v>
      </c>
      <c r="V6">
        <v>224.61</v>
      </c>
    </row>
    <row r="7" spans="1:22">
      <c r="A7" s="2">
        <v>2040</v>
      </c>
      <c r="B7" s="4">
        <v>0</v>
      </c>
      <c r="C7" s="4">
        <v>8199082.4000000013</v>
      </c>
      <c r="D7" s="4">
        <v>771726715.5</v>
      </c>
      <c r="E7" s="4">
        <v>1111887227.2</v>
      </c>
      <c r="F7" s="4">
        <v>28030918.199999999</v>
      </c>
      <c r="G7" s="4">
        <v>38614346.899999999</v>
      </c>
      <c r="H7" s="4">
        <v>301385730.40000004</v>
      </c>
      <c r="I7" s="4">
        <v>1458095358.5</v>
      </c>
      <c r="J7" s="4">
        <v>1816156717</v>
      </c>
      <c r="K7" s="4">
        <v>204869866</v>
      </c>
      <c r="L7" s="4">
        <v>113555436.50000001</v>
      </c>
      <c r="M7" s="4">
        <v>24691645.200000007</v>
      </c>
      <c r="N7" s="11">
        <f t="shared" si="0"/>
        <v>5877213043.8000002</v>
      </c>
      <c r="P7" s="7">
        <v>2040</v>
      </c>
      <c r="Q7" s="6">
        <f>SUM(B7:M7)</f>
        <v>5877213043.8000002</v>
      </c>
      <c r="R7" s="6">
        <f t="shared" si="1"/>
        <v>3932677455.3000002</v>
      </c>
      <c r="S7" s="3">
        <v>0.77</v>
      </c>
      <c r="T7">
        <v>0.19</v>
      </c>
      <c r="U7" s="10">
        <f t="shared" si="2"/>
        <v>4.0526315789473681</v>
      </c>
      <c r="V7">
        <v>300.95999999999998</v>
      </c>
    </row>
    <row r="8" spans="1:22">
      <c r="A8" s="2">
        <v>2045</v>
      </c>
      <c r="B8" s="4">
        <v>0</v>
      </c>
      <c r="C8" s="4">
        <v>6605038.5</v>
      </c>
      <c r="D8" s="4">
        <v>771726715.5</v>
      </c>
      <c r="E8" s="4">
        <v>1104628947.0999999</v>
      </c>
      <c r="F8" s="4">
        <v>34019972</v>
      </c>
      <c r="G8" s="4">
        <v>75091191.799999997</v>
      </c>
      <c r="H8" s="4">
        <v>303493128.10000002</v>
      </c>
      <c r="I8" s="4">
        <v>1730877126</v>
      </c>
      <c r="J8" s="4">
        <v>2037978613</v>
      </c>
      <c r="K8" s="4">
        <v>215062988</v>
      </c>
      <c r="L8" s="4">
        <v>129352553.40000001</v>
      </c>
      <c r="M8" s="4">
        <v>23549952.900000006</v>
      </c>
      <c r="N8" s="11">
        <f t="shared" si="0"/>
        <v>6432386226.2999992</v>
      </c>
      <c r="P8" s="7">
        <v>2045</v>
      </c>
      <c r="Q8" s="6">
        <f>SUM(B8:M8)</f>
        <v>6432386226.2999992</v>
      </c>
      <c r="R8" s="6">
        <f t="shared" si="1"/>
        <v>4491855600.2999992</v>
      </c>
      <c r="S8" s="3">
        <v>0.99</v>
      </c>
      <c r="T8">
        <v>0.25</v>
      </c>
      <c r="U8" s="10">
        <f t="shared" si="2"/>
        <v>3.96</v>
      </c>
      <c r="V8">
        <v>462.67</v>
      </c>
    </row>
    <row r="9" spans="1:22">
      <c r="A9" s="2">
        <v>2050</v>
      </c>
      <c r="B9" s="4">
        <v>0</v>
      </c>
      <c r="C9" s="4">
        <v>4117486.6999999993</v>
      </c>
      <c r="D9" s="4">
        <v>766507809.5</v>
      </c>
      <c r="E9" s="4">
        <v>1126078148.4000001</v>
      </c>
      <c r="F9" s="4">
        <v>35817265.800000004</v>
      </c>
      <c r="G9" s="4">
        <v>75392569.599999994</v>
      </c>
      <c r="H9" s="4">
        <v>300122423.39999998</v>
      </c>
      <c r="I9" s="4">
        <v>2015969579</v>
      </c>
      <c r="J9" s="4">
        <v>2206462751</v>
      </c>
      <c r="K9" s="4">
        <v>226224604</v>
      </c>
      <c r="L9" s="4">
        <v>149875817.29999998</v>
      </c>
      <c r="M9" s="4">
        <v>23275210.100000001</v>
      </c>
      <c r="N9" s="11">
        <f t="shared" si="0"/>
        <v>6929843664.8000002</v>
      </c>
      <c r="P9" s="7">
        <v>2050</v>
      </c>
      <c r="Q9" s="6">
        <f>SUM(B9:M9)</f>
        <v>6929843664.8000002</v>
      </c>
      <c r="R9" s="6">
        <f t="shared" si="1"/>
        <v>4974047744.3000002</v>
      </c>
      <c r="S9" s="3">
        <v>1.29</v>
      </c>
      <c r="T9">
        <v>0.31</v>
      </c>
      <c r="U9" s="10">
        <f t="shared" si="2"/>
        <v>4.161290322580645</v>
      </c>
      <c r="V9">
        <v>583.86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Raw_Cambium24_MidCase_annual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Yun</dc:creator>
  <cp:lastModifiedBy>Ian Yun</cp:lastModifiedBy>
  <dcterms:created xsi:type="dcterms:W3CDTF">2026-04-04T14:53:25Z</dcterms:created>
  <dcterms:modified xsi:type="dcterms:W3CDTF">2026-04-04T17:27:28Z</dcterms:modified>
</cp:coreProperties>
</file>